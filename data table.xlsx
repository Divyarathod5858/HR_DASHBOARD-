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DIVYA\Downloads\"/>
    </mc:Choice>
  </mc:AlternateContent>
  <xr:revisionPtr revIDLastSave="0" documentId="13_ncr:1_{7FF2B907-E038-44AB-93F2-14BF293ECE8F}" xr6:coauthVersionLast="47" xr6:coauthVersionMax="47" xr10:uidLastSave="{00000000-0000-0000-0000-000000000000}"/>
  <bookViews>
    <workbookView xWindow="-108" yWindow="-108" windowWidth="23256" windowHeight="12456" activeTab="2" xr2:uid="{408BA6AB-5196-496B-9C80-B057CC378CDA}"/>
  </bookViews>
  <sheets>
    <sheet name="Sheet1" sheetId="1" r:id="rId1"/>
    <sheet name="Sheet2" sheetId="2" r:id="rId2"/>
    <sheet name="Sheet3" sheetId="3" r:id="rId3"/>
  </sheets>
  <definedNames>
    <definedName name="_xlchart.v1.0" hidden="1">Sheet2!$W$10</definedName>
    <definedName name="_xlcn.WorksheetConnection_datatable.xlsxTable11" hidden="1">Table1[]</definedName>
    <definedName name="Slicer_Skills">#N/A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tabl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2" l="1"/>
  <c r="P4" i="2"/>
  <c r="P5" i="2"/>
  <c r="I12" i="2"/>
  <c r="J12" i="2" s="1"/>
  <c r="I11" i="2"/>
  <c r="F11" i="2"/>
  <c r="F10" i="2"/>
  <c r="F15" i="2" s="1"/>
  <c r="B10" i="2"/>
  <c r="B9" i="2"/>
  <c r="B8" i="2"/>
  <c r="B11" i="2" s="1"/>
  <c r="I13" i="2" l="1"/>
  <c r="J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666160-415A-4C26-AC98-8E5C8DE828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9B6914E-0EC5-4651-95DF-CE1852CFCD0D}" name="WorksheetConnection_data table.xlsx!Table1" type="102" refreshedVersion="8" minRefreshableVersion="5">
    <extLst>
      <ext xmlns:x15="http://schemas.microsoft.com/office/spreadsheetml/2010/11/main" uri="{DE250136-89BD-433C-8126-D09CA5730AF9}">
        <x15:connection id="Table1" autoDelete="1">
          <x15:rangePr sourceName="_xlcn.WorksheetConnection_datatable.xlsxTable11"/>
        </x15:connection>
      </ext>
    </extLst>
  </connection>
</connections>
</file>

<file path=xl/sharedStrings.xml><?xml version="1.0" encoding="utf-8"?>
<sst xmlns="http://schemas.openxmlformats.org/spreadsheetml/2006/main" count="849" uniqueCount="225">
  <si>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</si>
  <si>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</si>
  <si>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</si>
  <si>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</si>
  <si>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</si>
  <si>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</si>
  <si>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</si>
  <si>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</si>
  <si>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</si>
  <si>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</si>
  <si>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</si>
  <si>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</si>
  <si>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</si>
  <si>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</si>
  <si>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</si>
  <si>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</si>
  <si>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</si>
  <si>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</si>
  <si>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</si>
  <si>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</si>
  <si>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</si>
  <si>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</si>
  <si>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</si>
  <si>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</si>
  <si>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</si>
  <si>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</si>
  <si>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</si>
  <si>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</si>
  <si>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</si>
  <si>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</si>
  <si>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</si>
  <si>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</si>
  <si>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</si>
  <si>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</si>
  <si>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</si>
  <si>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</si>
  <si>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</si>
  <si>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</si>
  <si>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</si>
  <si>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</si>
  <si>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</si>
  <si>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</si>
  <si>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</si>
  <si>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</si>
  <si>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</si>
  <si>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</si>
  <si>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</si>
  <si>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</si>
  <si>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</si>
  <si>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</si>
  <si>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</si>
  <si>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</si>
  <si>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</si>
  <si>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</si>
  <si>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</si>
  <si>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</si>
  <si>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</si>
  <si>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</si>
  <si>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</si>
  <si>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</si>
  <si>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</si>
  <si>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</si>
  <si>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</si>
  <si>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</si>
  <si>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</si>
  <si>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</si>
  <si>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</si>
  <si>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</si>
  <si>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</si>
  <si>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</si>
  <si>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</si>
  <si>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</si>
  <si>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</si>
  <si>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</si>
  <si>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</si>
  <si>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</si>
  <si>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</si>
  <si>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</si>
  <si>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</si>
  <si>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</si>
  <si>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</si>
  <si>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</si>
  <si>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</si>
  <si>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</si>
  <si>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</si>
  <si>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</si>
  <si>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</si>
  <si>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</si>
  <si>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</si>
  <si>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</si>
  <si>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</si>
  <si>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</si>
  <si>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</si>
  <si>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</si>
  <si>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</si>
  <si>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</si>
  <si>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</si>
  <si>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</si>
  <si>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</si>
  <si>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</si>
  <si>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</si>
  <si>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</si>
  <si>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</si>
  <si>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</si>
  <si>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</si>
  <si>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</si>
  <si>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</si>
  <si>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</si>
  <si>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</si>
  <si>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</si>
  <si>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</si>
  <si>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</si>
  <si>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</si>
  <si>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</si>
  <si>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</si>
  <si>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</si>
  <si>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</si>
  <si>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</si>
  <si>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</si>
  <si>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</si>
  <si>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</si>
  <si>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</si>
  <si>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</si>
  <si>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</si>
  <si>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</si>
  <si>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</si>
  <si>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</si>
  <si>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</si>
  <si>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</si>
  <si>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</si>
  <si>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</si>
  <si>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</si>
  <si>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</si>
  <si>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</si>
  <si>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</si>
  <si>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</si>
  <si>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</si>
  <si>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</si>
  <si>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</si>
  <si>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</si>
  <si>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</si>
  <si>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</si>
  <si>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</si>
  <si>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</si>
  <si>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</si>
  <si>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</si>
  <si>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</si>
  <si>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</si>
  <si>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</si>
  <si>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</si>
  <si>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</si>
  <si>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</si>
  <si>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</si>
  <si>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</si>
  <si>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</si>
  <si>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</si>
  <si>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</si>
  <si>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</si>
  <si>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</si>
  <si>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</si>
  <si>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</si>
  <si>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</si>
  <si>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</si>
  <si>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</si>
  <si>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</si>
  <si>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</si>
  <si>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</si>
  <si>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</si>
  <si>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</si>
  <si>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</si>
  <si>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</si>
  <si>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</si>
  <si>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</si>
  <si>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</si>
  <si>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</si>
  <si>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</si>
  <si>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</si>
  <si>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</si>
  <si>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</si>
  <si>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</si>
  <si>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</si>
  <si>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</si>
  <si>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</si>
  <si>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</si>
  <si>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</si>
  <si>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</si>
  <si>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</si>
  <si>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</si>
  <si>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</si>
  <si>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</si>
  <si>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</si>
  <si>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</si>
  <si>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</si>
  <si>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</si>
  <si>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</si>
  <si>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</si>
  <si>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</si>
  <si>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</si>
  <si>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</si>
  <si>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</si>
  <si>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</si>
  <si>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</si>
  <si>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</si>
  <si>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</si>
  <si>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</si>
  <si>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</si>
  <si>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</si>
  <si>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</si>
  <si>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</si>
  <si>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</si>
  <si>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</si>
  <si>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</si>
  <si>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</si>
  <si>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</si>
  <si>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Count of Full Name</t>
  </si>
  <si>
    <t>Row Labels</t>
  </si>
  <si>
    <t>Grand Total</t>
  </si>
  <si>
    <t>NO. OF EMPLOYEE TO EMPLOYEE STATUES</t>
  </si>
  <si>
    <t>Total</t>
  </si>
  <si>
    <t>Sum of Salary</t>
  </si>
  <si>
    <t>SALARY BY DEPARTMENT</t>
  </si>
  <si>
    <t>Column Labels</t>
  </si>
  <si>
    <t>AGE RANGE BY GENDER</t>
  </si>
  <si>
    <t>WORK PLACE</t>
  </si>
  <si>
    <t>Sum of Leave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</si>
</sst>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Kulim Park"/>
    </font>
    <font>
      <sz val="11"/>
      <color theme="1"/>
      <name val="Aptos Narrow"/>
      <family val="2"/>
      <scheme val="minor"/>
    </font>
    <font>
      <b/>
      <sz val="11"/>
      <color theme="1"/>
      <name val="Aptos Narrow"/>
      <family val="2"/>
      <scheme val="minor"/>
    </font>
    <font>
      <b/>
      <sz val="11"/>
      <color theme="1"/>
      <name val="Kulim Park"/>
    </font>
    <font>
      <sz val="1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1" tint="0.14999847407452621"/>
        <bgColor indexed="64"/>
      </patternFill>
    </fill>
  </fills>
  <borders count="3">
    <border>
      <left/>
      <right/>
      <top/>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2" borderId="0" xfId="0" applyFont="1" applyFill="1" applyAlignment="1">
      <alignment horizontal="center" vertical="center"/>
    </xf>
    <xf numFmtId="0" fontId="4"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2" xfId="0" applyBorder="1" applyAlignment="1">
      <alignment horizontal="left"/>
    </xf>
    <xf numFmtId="0" fontId="0" fillId="0" borderId="2" xfId="0" applyBorder="1"/>
    <xf numFmtId="0" fontId="0" fillId="0" borderId="2" xfId="0" pivotButton="1" applyBorder="1"/>
    <xf numFmtId="10" fontId="3" fillId="0" borderId="0" xfId="0" applyNumberFormat="1" applyFont="1"/>
    <xf numFmtId="9" fontId="3" fillId="0" borderId="0" xfId="1" applyFont="1"/>
    <xf numFmtId="9" fontId="0" fillId="0" borderId="0" xfId="1" applyFont="1"/>
    <xf numFmtId="0" fontId="5" fillId="3" borderId="0" xfId="0" applyFont="1" applyFill="1"/>
  </cellXfs>
  <cellStyles count="2">
    <cellStyle name="Normal" xfId="0" builtinId="0"/>
    <cellStyle name="Percent" xfId="1" builtinId="5"/>
  </cellStyles>
  <dxfs count="3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dxf>
    <dxf>
      <font>
        <b/>
        <strike val="0"/>
        <outline val="0"/>
        <shadow val="0"/>
        <u val="none"/>
        <vertAlign val="baseline"/>
        <sz val="11"/>
        <color theme="1"/>
        <name val="Kulim Park"/>
        <scheme val="none"/>
      </font>
      <fill>
        <patternFill patternType="solid">
          <fgColor indexed="64"/>
          <bgColor theme="0"/>
        </patternFill>
      </fill>
      <alignment horizontal="center" vertical="center" textRotation="0" wrapText="0" indent="0" justifyLastLine="0" shrinkToFit="0" readingOrder="0"/>
    </dxf>
  </dxfs>
  <tableStyles count="0" defaultTableStyle="TableStyleMedium2" defaultPivotStyle="PivotStyleLight16"/>
  <colors>
    <mruColors>
      <color rgb="FF740CD2"/>
      <color rgb="FFCC0066"/>
      <color rgb="FFD67346"/>
      <color rgb="FFECD6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table.xlsx]Sheet2!PivotTable1</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Job</a:t>
            </a:r>
            <a:r>
              <a:rPr lang="en-US" baseline="0"/>
              <a:t> Time</a:t>
            </a:r>
            <a:endParaRPr lang="en-US"/>
          </a:p>
        </c:rich>
      </c:tx>
      <c:layout>
        <c:manualLayout>
          <c:xMode val="edge"/>
          <c:yMode val="edge"/>
          <c:x val="0.34019117338347027"/>
          <c:y val="2.266259295157670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pieChart>
        <c:varyColors val="1"/>
        <c:ser>
          <c:idx val="0"/>
          <c:order val="0"/>
          <c:tx>
            <c:strRef>
              <c:f>Sheet2!$B$2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58F-4375-859A-29626A9C5F9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58F-4375-859A-29626A9C5F9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58F-4375-859A-29626A9C5F90}"/>
              </c:ext>
            </c:extLst>
          </c:dPt>
          <c:cat>
            <c:strRef>
              <c:f>Sheet2!$A$3:$A$6</c:f>
              <c:strCache>
                <c:ptCount val="3"/>
                <c:pt idx="0">
                  <c:v>Contract</c:v>
                </c:pt>
                <c:pt idx="1">
                  <c:v>Full-Time</c:v>
                </c:pt>
                <c:pt idx="2">
                  <c:v>Part-Time</c:v>
                </c:pt>
              </c:strCache>
            </c:strRef>
          </c:cat>
          <c:val>
            <c:numRef>
              <c:f>Sheet2!$B$3:$B$6</c:f>
              <c:numCache>
                <c:formatCode>General</c:formatCode>
                <c:ptCount val="3"/>
                <c:pt idx="0">
                  <c:v>17</c:v>
                </c:pt>
                <c:pt idx="1">
                  <c:v>20</c:v>
                </c:pt>
                <c:pt idx="2">
                  <c:v>13</c:v>
                </c:pt>
              </c:numCache>
            </c:numRef>
          </c:val>
          <c:extLst>
            <c:ext xmlns:c16="http://schemas.microsoft.com/office/drawing/2014/chart" uri="{C3380CC4-5D6E-409C-BE32-E72D297353CC}">
              <c16:uniqueId val="{00000006-058F-4375-859A-29626A9C5F9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53A-4275-9FBB-57A4E0423561}"/>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53A-4275-9FBB-57A4E04235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Sheet2!$H$11:$H$12</c:f>
              <c:strCache>
                <c:ptCount val="2"/>
                <c:pt idx="0">
                  <c:v>Female</c:v>
                </c:pt>
                <c:pt idx="1">
                  <c:v>Male</c:v>
                </c:pt>
              </c:strCache>
            </c:strRef>
          </c:cat>
          <c:val>
            <c:numRef>
              <c:f>Sheet2!$I$11:$I$12</c:f>
              <c:numCache>
                <c:formatCode>General</c:formatCode>
                <c:ptCount val="2"/>
                <c:pt idx="0">
                  <c:v>26</c:v>
                </c:pt>
                <c:pt idx="1">
                  <c:v>24</c:v>
                </c:pt>
              </c:numCache>
            </c:numRef>
          </c:val>
          <c:extLst>
            <c:ext xmlns:c16="http://schemas.microsoft.com/office/drawing/2014/chart" uri="{C3380CC4-5D6E-409C-BE32-E72D297353CC}">
              <c16:uniqueId val="{00000004-E53A-4275-9FBB-57A4E042356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table.xlsx]Sheet2!PivotTable3</c:name>
    <c:fmtId val="3"/>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ECD6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6734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76364852854532E-2"/>
          <c:y val="0.1127521163956966"/>
          <c:w val="0.91975986711803925"/>
          <c:h val="0.80036009652291418"/>
        </c:manualLayout>
      </c:layout>
      <c:barChart>
        <c:barDir val="col"/>
        <c:grouping val="clustered"/>
        <c:varyColors val="0"/>
        <c:ser>
          <c:idx val="0"/>
          <c:order val="0"/>
          <c:tx>
            <c:strRef>
              <c:f>Sheet2!$I$2:$I$3</c:f>
              <c:strCache>
                <c:ptCount val="1"/>
                <c:pt idx="0">
                  <c:v>Female</c:v>
                </c:pt>
              </c:strCache>
            </c:strRef>
          </c:tx>
          <c:spPr>
            <a:solidFill>
              <a:srgbClr val="ECD634"/>
            </a:solidFill>
            <a:ln>
              <a:noFill/>
            </a:ln>
            <a:effectLst/>
          </c:spPr>
          <c:invertIfNegative val="0"/>
          <c:cat>
            <c:strRef>
              <c:f>Sheet2!$H$4:$H$9</c:f>
              <c:strCache>
                <c:ptCount val="5"/>
                <c:pt idx="0">
                  <c:v>18-25</c:v>
                </c:pt>
                <c:pt idx="1">
                  <c:v>26-35</c:v>
                </c:pt>
                <c:pt idx="2">
                  <c:v>36-45</c:v>
                </c:pt>
                <c:pt idx="3">
                  <c:v>46-55</c:v>
                </c:pt>
                <c:pt idx="4">
                  <c:v>56 &lt;</c:v>
                </c:pt>
              </c:strCache>
            </c:strRef>
          </c:cat>
          <c:val>
            <c:numRef>
              <c:f>Sheet2!$I$4:$I$9</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5852-4F37-9D29-C1F4FDFCDEE6}"/>
            </c:ext>
          </c:extLst>
        </c:ser>
        <c:ser>
          <c:idx val="1"/>
          <c:order val="1"/>
          <c:tx>
            <c:strRef>
              <c:f>Sheet2!$J$2:$J$3</c:f>
              <c:strCache>
                <c:ptCount val="1"/>
                <c:pt idx="0">
                  <c:v>Male</c:v>
                </c:pt>
              </c:strCache>
            </c:strRef>
          </c:tx>
          <c:spPr>
            <a:solidFill>
              <a:srgbClr val="D67346"/>
            </a:solidFill>
            <a:ln>
              <a:noFill/>
            </a:ln>
            <a:effectLst/>
          </c:spPr>
          <c:invertIfNegative val="0"/>
          <c:cat>
            <c:strRef>
              <c:f>Sheet2!$H$4:$H$9</c:f>
              <c:strCache>
                <c:ptCount val="5"/>
                <c:pt idx="0">
                  <c:v>18-25</c:v>
                </c:pt>
                <c:pt idx="1">
                  <c:v>26-35</c:v>
                </c:pt>
                <c:pt idx="2">
                  <c:v>36-45</c:v>
                </c:pt>
                <c:pt idx="3">
                  <c:v>46-55</c:v>
                </c:pt>
                <c:pt idx="4">
                  <c:v>56 &lt;</c:v>
                </c:pt>
              </c:strCache>
            </c:strRef>
          </c:cat>
          <c:val>
            <c:numRef>
              <c:f>Sheet2!$J$4:$J$9</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5852-4F37-9D29-C1F4FDFCDEE6}"/>
            </c:ext>
          </c:extLst>
        </c:ser>
        <c:dLbls>
          <c:showLegendKey val="0"/>
          <c:showVal val="0"/>
          <c:showCatName val="0"/>
          <c:showSerName val="0"/>
          <c:showPercent val="0"/>
          <c:showBubbleSize val="0"/>
        </c:dLbls>
        <c:gapWidth val="181"/>
        <c:overlap val="-12"/>
        <c:axId val="1698681007"/>
        <c:axId val="920548879"/>
      </c:barChart>
      <c:catAx>
        <c:axId val="169868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548879"/>
        <c:crosses val="autoZero"/>
        <c:auto val="1"/>
        <c:lblAlgn val="ctr"/>
        <c:lblOffset val="100"/>
        <c:noMultiLvlLbl val="0"/>
      </c:catAx>
      <c:valAx>
        <c:axId val="92054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68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table.xlsx]Sheet2!PivotTable7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By Job</a:t>
            </a:r>
            <a:r>
              <a:rPr lang="en-US" baseline="0"/>
              <a:t> Time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Sheet2!$N$2</c:f>
              <c:strCache>
                <c:ptCount val="1"/>
                <c:pt idx="0">
                  <c:v>Total</c:v>
                </c:pt>
              </c:strCache>
            </c:strRef>
          </c:tx>
          <c:spPr>
            <a:solidFill>
              <a:schemeClr val="accent3">
                <a:lumMod val="75000"/>
              </a:schemeClr>
            </a:solidFill>
            <a:ln>
              <a:noFill/>
            </a:ln>
            <a:effectLst/>
          </c:spPr>
          <c:invertIfNegative val="0"/>
          <c:cat>
            <c:strRef>
              <c:f>Sheet2!$M$3:$M$6</c:f>
              <c:strCache>
                <c:ptCount val="3"/>
                <c:pt idx="0">
                  <c:v>Branch Office</c:v>
                </c:pt>
                <c:pt idx="1">
                  <c:v>Head Office</c:v>
                </c:pt>
                <c:pt idx="2">
                  <c:v>Remote</c:v>
                </c:pt>
              </c:strCache>
            </c:strRef>
          </c:cat>
          <c:val>
            <c:numRef>
              <c:f>Sheet2!$N$3:$N$6</c:f>
              <c:numCache>
                <c:formatCode>General</c:formatCode>
                <c:ptCount val="3"/>
                <c:pt idx="0">
                  <c:v>23</c:v>
                </c:pt>
                <c:pt idx="1">
                  <c:v>8</c:v>
                </c:pt>
                <c:pt idx="2">
                  <c:v>19</c:v>
                </c:pt>
              </c:numCache>
            </c:numRef>
          </c:val>
          <c:extLst>
            <c:ext xmlns:c16="http://schemas.microsoft.com/office/drawing/2014/chart" uri="{C3380CC4-5D6E-409C-BE32-E72D297353CC}">
              <c16:uniqueId val="{00000000-C266-4699-B07C-94FBF9D9F3BA}"/>
            </c:ext>
          </c:extLst>
        </c:ser>
        <c:dLbls>
          <c:showLegendKey val="0"/>
          <c:showVal val="0"/>
          <c:showCatName val="0"/>
          <c:showSerName val="0"/>
          <c:showPercent val="0"/>
          <c:showBubbleSize val="0"/>
        </c:dLbls>
        <c:gapWidth val="182"/>
        <c:overlap val="100"/>
        <c:axId val="997189055"/>
        <c:axId val="920553199"/>
      </c:barChart>
      <c:catAx>
        <c:axId val="99718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553199"/>
        <c:crosses val="autoZero"/>
        <c:auto val="1"/>
        <c:lblAlgn val="ctr"/>
        <c:lblOffset val="100"/>
        <c:noMultiLvlLbl val="0"/>
      </c:catAx>
      <c:valAx>
        <c:axId val="92055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8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table.xlsx]Sheet2!PivotTable9</c:name>
    <c:fmtId val="4"/>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Skills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Sheet2!$S$2</c:f>
              <c:strCache>
                <c:ptCount val="1"/>
                <c:pt idx="0">
                  <c:v>Total</c:v>
                </c:pt>
              </c:strCache>
            </c:strRef>
          </c:tx>
          <c:spPr>
            <a:solidFill>
              <a:srgbClr val="CC0066"/>
            </a:solidFill>
            <a:ln>
              <a:noFill/>
            </a:ln>
            <a:effectLst/>
          </c:spPr>
          <c:invertIfNegative val="0"/>
          <c:cat>
            <c:strRef>
              <c:f>Sheet2!$R$3:$R$8</c:f>
              <c:strCache>
                <c:ptCount val="5"/>
                <c:pt idx="0">
                  <c:v>Communication</c:v>
                </c:pt>
                <c:pt idx="1">
                  <c:v>Design</c:v>
                </c:pt>
                <c:pt idx="2">
                  <c:v>Excel</c:v>
                </c:pt>
                <c:pt idx="3">
                  <c:v>Management</c:v>
                </c:pt>
                <c:pt idx="4">
                  <c:v>Python</c:v>
                </c:pt>
              </c:strCache>
            </c:strRef>
          </c:cat>
          <c:val>
            <c:numRef>
              <c:f>Sheet2!$S$3:$S$8</c:f>
              <c:numCache>
                <c:formatCode>General</c:formatCode>
                <c:ptCount val="5"/>
                <c:pt idx="0">
                  <c:v>12</c:v>
                </c:pt>
                <c:pt idx="1">
                  <c:v>11</c:v>
                </c:pt>
                <c:pt idx="2">
                  <c:v>7</c:v>
                </c:pt>
                <c:pt idx="3">
                  <c:v>11</c:v>
                </c:pt>
                <c:pt idx="4">
                  <c:v>9</c:v>
                </c:pt>
              </c:numCache>
            </c:numRef>
          </c:val>
          <c:extLst>
            <c:ext xmlns:c16="http://schemas.microsoft.com/office/drawing/2014/chart" uri="{C3380CC4-5D6E-409C-BE32-E72D297353CC}">
              <c16:uniqueId val="{00000000-887C-49D8-AC47-45F58CC04134}"/>
            </c:ext>
          </c:extLst>
        </c:ser>
        <c:dLbls>
          <c:showLegendKey val="0"/>
          <c:showVal val="0"/>
          <c:showCatName val="0"/>
          <c:showSerName val="0"/>
          <c:showPercent val="0"/>
          <c:showBubbleSize val="0"/>
        </c:dLbls>
        <c:gapWidth val="182"/>
        <c:axId val="1746630575"/>
        <c:axId val="920519119"/>
      </c:barChart>
      <c:catAx>
        <c:axId val="1746630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920519119"/>
        <c:crosses val="autoZero"/>
        <c:auto val="1"/>
        <c:lblAlgn val="ctr"/>
        <c:lblOffset val="100"/>
        <c:noMultiLvlLbl val="0"/>
      </c:catAx>
      <c:valAx>
        <c:axId val="92051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74663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table.xlsx]Sheet2!PivotTable10</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Leave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Sheet2!$Q$15</c:f>
              <c:strCache>
                <c:ptCount val="1"/>
                <c:pt idx="0">
                  <c:v>Total</c:v>
                </c:pt>
              </c:strCache>
            </c:strRef>
          </c:tx>
          <c:spPr>
            <a:solidFill>
              <a:schemeClr val="accent5">
                <a:lumMod val="75000"/>
              </a:schemeClr>
            </a:solidFill>
            <a:ln>
              <a:noFill/>
            </a:ln>
            <a:effectLst/>
            <a:sp3d/>
          </c:spPr>
          <c:invertIfNegative val="0"/>
          <c:cat>
            <c:strRef>
              <c:f>Sheet2!$P$16:$P$26</c:f>
              <c:strCache>
                <c:ptCount val="10"/>
                <c:pt idx="0">
                  <c:v>Anna Payne</c:v>
                </c:pt>
                <c:pt idx="1">
                  <c:v>Carolyn Bullock</c:v>
                </c:pt>
                <c:pt idx="2">
                  <c:v>Donna Jones</c:v>
                </c:pt>
                <c:pt idx="3">
                  <c:v>Gary Garcia</c:v>
                </c:pt>
                <c:pt idx="4">
                  <c:v>Kevin Bell</c:v>
                </c:pt>
                <c:pt idx="5">
                  <c:v>Kimberly Jones</c:v>
                </c:pt>
                <c:pt idx="6">
                  <c:v>Mandy Davis</c:v>
                </c:pt>
                <c:pt idx="7">
                  <c:v>Mark Lopez</c:v>
                </c:pt>
                <c:pt idx="8">
                  <c:v>Matthew Powell</c:v>
                </c:pt>
                <c:pt idx="9">
                  <c:v>Timothy Aguilar</c:v>
                </c:pt>
              </c:strCache>
            </c:strRef>
          </c:cat>
          <c:val>
            <c:numRef>
              <c:f>Sheet2!$Q$16:$Q$26</c:f>
              <c:numCache>
                <c:formatCode>General</c:formatCode>
                <c:ptCount val="10"/>
                <c:pt idx="0">
                  <c:v>18</c:v>
                </c:pt>
                <c:pt idx="1">
                  <c:v>18</c:v>
                </c:pt>
                <c:pt idx="2">
                  <c:v>20</c:v>
                </c:pt>
                <c:pt idx="3">
                  <c:v>19</c:v>
                </c:pt>
                <c:pt idx="4">
                  <c:v>17</c:v>
                </c:pt>
                <c:pt idx="5">
                  <c:v>20</c:v>
                </c:pt>
                <c:pt idx="6">
                  <c:v>19</c:v>
                </c:pt>
                <c:pt idx="7">
                  <c:v>18</c:v>
                </c:pt>
                <c:pt idx="8">
                  <c:v>20</c:v>
                </c:pt>
                <c:pt idx="9">
                  <c:v>18</c:v>
                </c:pt>
              </c:numCache>
            </c:numRef>
          </c:val>
          <c:extLst>
            <c:ext xmlns:c16="http://schemas.microsoft.com/office/drawing/2014/chart" uri="{C3380CC4-5D6E-409C-BE32-E72D297353CC}">
              <c16:uniqueId val="{00000000-95BC-4113-A5CB-95EE1054F289}"/>
            </c:ext>
          </c:extLst>
        </c:ser>
        <c:dLbls>
          <c:showLegendKey val="0"/>
          <c:showVal val="0"/>
          <c:showCatName val="0"/>
          <c:showSerName val="0"/>
          <c:showPercent val="0"/>
          <c:showBubbleSize val="0"/>
        </c:dLbls>
        <c:gapWidth val="150"/>
        <c:shape val="box"/>
        <c:axId val="1747932639"/>
        <c:axId val="920545519"/>
        <c:axId val="0"/>
      </c:bar3DChart>
      <c:catAx>
        <c:axId val="1747932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545519"/>
        <c:crosses val="autoZero"/>
        <c:auto val="1"/>
        <c:lblAlgn val="ctr"/>
        <c:lblOffset val="100"/>
        <c:noMultiLvlLbl val="0"/>
      </c:catAx>
      <c:valAx>
        <c:axId val="920545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93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dbl">
            <a:solidFill>
              <a:schemeClr val="bg2">
                <a:lumMod val="50000"/>
              </a:schemeClr>
            </a:solidFill>
            <a:prstDash val="sysDash"/>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Sheet2!$F$2</c:f>
              <c:strCache>
                <c:ptCount val="1"/>
                <c:pt idx="0">
                  <c:v>Total</c:v>
                </c:pt>
              </c:strCache>
            </c:strRef>
          </c:tx>
          <c:spPr>
            <a:ln w="28575" cap="rnd" cmpd="dbl">
              <a:solidFill>
                <a:schemeClr val="bg2">
                  <a:lumMod val="50000"/>
                </a:schemeClr>
              </a:solidFill>
              <a:prstDash val="sysDash"/>
              <a:round/>
            </a:ln>
            <a:effectLst/>
          </c:spPr>
          <c:marker>
            <c:symbol val="circle"/>
            <c:size val="5"/>
            <c:spPr>
              <a:solidFill>
                <a:schemeClr val="accent1"/>
              </a:solidFill>
              <a:ln w="9525">
                <a:solidFill>
                  <a:schemeClr val="accent1"/>
                </a:solidFill>
              </a:ln>
              <a:effectLst/>
            </c:spPr>
          </c:marker>
          <c:cat>
            <c:strRef>
              <c:f>Sheet2!$E$3:$E$8</c:f>
              <c:strCache>
                <c:ptCount val="5"/>
                <c:pt idx="0">
                  <c:v>Analyst</c:v>
                </c:pt>
                <c:pt idx="1">
                  <c:v>Designer</c:v>
                </c:pt>
                <c:pt idx="2">
                  <c:v>Developer</c:v>
                </c:pt>
                <c:pt idx="3">
                  <c:v>HR Specialist</c:v>
                </c:pt>
                <c:pt idx="4">
                  <c:v>Manager</c:v>
                </c:pt>
              </c:strCache>
            </c:strRef>
          </c:cat>
          <c:val>
            <c:numRef>
              <c:f>Sheet2!$F$3:$F$8</c:f>
              <c:numCache>
                <c:formatCode>General</c:formatCode>
                <c:ptCount val="5"/>
                <c:pt idx="0">
                  <c:v>167041</c:v>
                </c:pt>
                <c:pt idx="1">
                  <c:v>613842</c:v>
                </c:pt>
                <c:pt idx="2">
                  <c:v>633594</c:v>
                </c:pt>
                <c:pt idx="3">
                  <c:v>959266</c:v>
                </c:pt>
                <c:pt idx="4">
                  <c:v>731170</c:v>
                </c:pt>
              </c:numCache>
            </c:numRef>
          </c:val>
          <c:smooth val="0"/>
          <c:extLst>
            <c:ext xmlns:c16="http://schemas.microsoft.com/office/drawing/2014/chart" uri="{C3380CC4-5D6E-409C-BE32-E72D297353CC}">
              <c16:uniqueId val="{00000000-223A-4038-A12E-81F8AC589E7B}"/>
            </c:ext>
          </c:extLst>
        </c:ser>
        <c:dLbls>
          <c:showLegendKey val="0"/>
          <c:showVal val="0"/>
          <c:showCatName val="0"/>
          <c:showSerName val="0"/>
          <c:showPercent val="0"/>
          <c:showBubbleSize val="0"/>
        </c:dLbls>
        <c:marker val="1"/>
        <c:smooth val="0"/>
        <c:axId val="2071478047"/>
        <c:axId val="1638115823"/>
      </c:lineChart>
      <c:catAx>
        <c:axId val="207147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115823"/>
        <c:crosses val="autoZero"/>
        <c:auto val="1"/>
        <c:lblAlgn val="ctr"/>
        <c:lblOffset val="100"/>
        <c:noMultiLvlLbl val="0"/>
      </c:catAx>
      <c:valAx>
        <c:axId val="163811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478047"/>
        <c:crosses val="autoZero"/>
        <c:crossBetween val="between"/>
      </c:valAx>
      <c:spPr>
        <a:noFill/>
        <a:ln>
          <a:noFill/>
        </a:ln>
        <a:effectLst>
          <a:glow rad="127000">
            <a:schemeClr val="accent1">
              <a:alpha val="93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42164</xdr:colOff>
      <xdr:row>4</xdr:row>
      <xdr:rowOff>136238</xdr:rowOff>
    </xdr:from>
    <xdr:to>
      <xdr:col>6</xdr:col>
      <xdr:colOff>514109</xdr:colOff>
      <xdr:row>23</xdr:row>
      <xdr:rowOff>3911</xdr:rowOff>
    </xdr:to>
    <xdr:graphicFrame macro="">
      <xdr:nvGraphicFramePr>
        <xdr:cNvPr id="2" name="Chart 1">
          <a:extLst>
            <a:ext uri="{FF2B5EF4-FFF2-40B4-BE49-F238E27FC236}">
              <a16:creationId xmlns:a16="http://schemas.microsoft.com/office/drawing/2014/main" id="{DA9D5216-6AD5-48F8-B0DB-FD1F8FA02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452542</xdr:colOff>
      <xdr:row>23</xdr:row>
      <xdr:rowOff>140563</xdr:rowOff>
    </xdr:from>
    <xdr:to>
      <xdr:col>28</xdr:col>
      <xdr:colOff>45905</xdr:colOff>
      <xdr:row>39</xdr:row>
      <xdr:rowOff>13578</xdr:rowOff>
    </xdr:to>
    <xdr:graphicFrame macro="">
      <xdr:nvGraphicFramePr>
        <xdr:cNvPr id="3" name="Chart 2">
          <a:extLst>
            <a:ext uri="{FF2B5EF4-FFF2-40B4-BE49-F238E27FC236}">
              <a16:creationId xmlns:a16="http://schemas.microsoft.com/office/drawing/2014/main" id="{AF6FA590-AD51-4E83-B30F-8872F7C26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582324</xdr:colOff>
      <xdr:row>4</xdr:row>
      <xdr:rowOff>138327</xdr:rowOff>
    </xdr:from>
    <xdr:to>
      <xdr:col>15</xdr:col>
      <xdr:colOff>413131</xdr:colOff>
      <xdr:row>23</xdr:row>
      <xdr:rowOff>22725</xdr:rowOff>
    </xdr:to>
    <xdr:graphicFrame macro="">
      <xdr:nvGraphicFramePr>
        <xdr:cNvPr id="4" name="Chart 3">
          <a:extLst>
            <a:ext uri="{FF2B5EF4-FFF2-40B4-BE49-F238E27FC236}">
              <a16:creationId xmlns:a16="http://schemas.microsoft.com/office/drawing/2014/main" id="{8C38315D-E555-4B2B-B7B3-E0F9AC912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68960</xdr:colOff>
      <xdr:row>23</xdr:row>
      <xdr:rowOff>142264</xdr:rowOff>
    </xdr:from>
    <xdr:to>
      <xdr:col>6</xdr:col>
      <xdr:colOff>541664</xdr:colOff>
      <xdr:row>43</xdr:row>
      <xdr:rowOff>4306</xdr:rowOff>
    </xdr:to>
    <xdr:graphicFrame macro="">
      <xdr:nvGraphicFramePr>
        <xdr:cNvPr id="5" name="Chart 4">
          <a:extLst>
            <a:ext uri="{FF2B5EF4-FFF2-40B4-BE49-F238E27FC236}">
              <a16:creationId xmlns:a16="http://schemas.microsoft.com/office/drawing/2014/main" id="{DDBC761E-729A-43A1-97FF-F316012E5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523301</xdr:colOff>
      <xdr:row>4</xdr:row>
      <xdr:rowOff>131771</xdr:rowOff>
    </xdr:from>
    <xdr:to>
      <xdr:col>23</xdr:col>
      <xdr:colOff>367229</xdr:colOff>
      <xdr:row>23</xdr:row>
      <xdr:rowOff>21713</xdr:rowOff>
    </xdr:to>
    <xdr:graphicFrame macro="">
      <xdr:nvGraphicFramePr>
        <xdr:cNvPr id="6" name="Chart 5">
          <a:extLst>
            <a:ext uri="{FF2B5EF4-FFF2-40B4-BE49-F238E27FC236}">
              <a16:creationId xmlns:a16="http://schemas.microsoft.com/office/drawing/2014/main" id="{B407C0BD-BC58-4FB3-A344-85A923C16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20992</xdr:colOff>
      <xdr:row>23</xdr:row>
      <xdr:rowOff>145297</xdr:rowOff>
    </xdr:from>
    <xdr:to>
      <xdr:col>15</xdr:col>
      <xdr:colOff>440674</xdr:colOff>
      <xdr:row>43</xdr:row>
      <xdr:rowOff>28448</xdr:rowOff>
    </xdr:to>
    <xdr:graphicFrame macro="">
      <xdr:nvGraphicFramePr>
        <xdr:cNvPr id="7" name="Chart 6">
          <a:extLst>
            <a:ext uri="{FF2B5EF4-FFF2-40B4-BE49-F238E27FC236}">
              <a16:creationId xmlns:a16="http://schemas.microsoft.com/office/drawing/2014/main" id="{68F52ECB-F421-48C3-A212-71A0C809A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432777</xdr:colOff>
      <xdr:row>8</xdr:row>
      <xdr:rowOff>160287</xdr:rowOff>
    </xdr:from>
    <xdr:to>
      <xdr:col>28</xdr:col>
      <xdr:colOff>55084</xdr:colOff>
      <xdr:row>22</xdr:row>
      <xdr:rowOff>172025</xdr:rowOff>
    </xdr:to>
    <mc:AlternateContent xmlns:mc="http://schemas.openxmlformats.org/markup-compatibility/2006" xmlns:a14="http://schemas.microsoft.com/office/drawing/2010/main">
      <mc:Choice Requires="a14">
        <xdr:graphicFrame macro="">
          <xdr:nvGraphicFramePr>
            <xdr:cNvPr id="8" name="Skills">
              <a:extLst>
                <a:ext uri="{FF2B5EF4-FFF2-40B4-BE49-F238E27FC236}">
                  <a16:creationId xmlns:a16="http://schemas.microsoft.com/office/drawing/2014/main" id="{70DDBEED-0B0B-F6D0-A8DA-EAEC682A11F6}"/>
                </a:ext>
              </a:extLst>
            </xdr:cNvPr>
            <xdr:cNvGraphicFramePr/>
          </xdr:nvGraphicFramePr>
          <xdr:xfrm>
            <a:off x="0" y="0"/>
            <a:ext cx="0" cy="0"/>
          </xdr:xfrm>
          <a:graphic>
            <a:graphicData uri="http://schemas.microsoft.com/office/drawing/2010/slicer">
              <sle:slicer xmlns:sle="http://schemas.microsoft.com/office/drawing/2010/slicer" name="Skills"/>
            </a:graphicData>
          </a:graphic>
        </xdr:graphicFrame>
      </mc:Choice>
      <mc:Fallback xmlns="">
        <xdr:sp macro="" textlink="">
          <xdr:nvSpPr>
            <xdr:cNvPr id="0" name=""/>
            <xdr:cNvSpPr>
              <a:spLocks noTextEdit="1"/>
            </xdr:cNvSpPr>
          </xdr:nvSpPr>
          <xdr:spPr>
            <a:xfrm>
              <a:off x="14394167" y="1606795"/>
              <a:ext cx="2657392" cy="2543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507084</xdr:colOff>
      <xdr:row>23</xdr:row>
      <xdr:rowOff>159996</xdr:rowOff>
    </xdr:from>
    <xdr:to>
      <xdr:col>23</xdr:col>
      <xdr:colOff>385591</xdr:colOff>
      <xdr:row>43</xdr:row>
      <xdr:rowOff>25861</xdr:rowOff>
    </xdr:to>
    <xdr:graphicFrame macro="">
      <xdr:nvGraphicFramePr>
        <xdr:cNvPr id="9" name="Chart 8">
          <a:extLst>
            <a:ext uri="{FF2B5EF4-FFF2-40B4-BE49-F238E27FC236}">
              <a16:creationId xmlns:a16="http://schemas.microsoft.com/office/drawing/2014/main" id="{431B7AC8-0E26-484D-B7ED-343D22286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10</xdr:col>
      <xdr:colOff>173261</xdr:colOff>
      <xdr:row>5</xdr:row>
      <xdr:rowOff>15816</xdr:rowOff>
    </xdr:from>
    <xdr:ext cx="996683" cy="436786"/>
    <xdr:sp macro="" textlink="">
      <xdr:nvSpPr>
        <xdr:cNvPr id="12" name="TextBox 11">
          <a:extLst>
            <a:ext uri="{FF2B5EF4-FFF2-40B4-BE49-F238E27FC236}">
              <a16:creationId xmlns:a16="http://schemas.microsoft.com/office/drawing/2014/main" id="{3432FE41-EFF5-BD96-498B-66382B15EDF1}"/>
            </a:ext>
          </a:extLst>
        </xdr:cNvPr>
        <xdr:cNvSpPr txBox="1"/>
      </xdr:nvSpPr>
      <xdr:spPr>
        <a:xfrm>
          <a:off x="6288076" y="909520"/>
          <a:ext cx="996683"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Age</a:t>
          </a:r>
          <a:r>
            <a:rPr lang="en-IN" sz="1100" baseline="0"/>
            <a:t> </a:t>
          </a:r>
          <a:r>
            <a:rPr lang="en-IN" sz="1100"/>
            <a:t>By</a:t>
          </a:r>
          <a:r>
            <a:rPr lang="en-IN" sz="1100" baseline="0"/>
            <a:t> Gender</a:t>
          </a:r>
        </a:p>
        <a:p>
          <a:endParaRPr lang="en-IN" sz="1100"/>
        </a:p>
      </xdr:txBody>
    </xdr:sp>
    <xdr:clientData/>
  </xdr:oneCellAnchor>
  <xdr:oneCellAnchor>
    <xdr:from>
      <xdr:col>11</xdr:col>
      <xdr:colOff>230255</xdr:colOff>
      <xdr:row>1</xdr:row>
      <xdr:rowOff>58990</xdr:rowOff>
    </xdr:from>
    <xdr:ext cx="3048000" cy="593239"/>
    <xdr:sp macro="" textlink="">
      <xdr:nvSpPr>
        <xdr:cNvPr id="13" name="TextBox 12">
          <a:extLst>
            <a:ext uri="{FF2B5EF4-FFF2-40B4-BE49-F238E27FC236}">
              <a16:creationId xmlns:a16="http://schemas.microsoft.com/office/drawing/2014/main" id="{5B4118CC-0606-7510-55C7-B80ABDD68119}"/>
            </a:ext>
          </a:extLst>
        </xdr:cNvPr>
        <xdr:cNvSpPr txBox="1"/>
      </xdr:nvSpPr>
      <xdr:spPr>
        <a:xfrm>
          <a:off x="6895460" y="242604"/>
          <a:ext cx="3048000"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b="1">
              <a:solidFill>
                <a:schemeClr val="bg1"/>
              </a:solidFill>
            </a:rPr>
            <a:t>HR </a:t>
          </a:r>
          <a:r>
            <a:rPr lang="en-US" sz="3200" b="1">
              <a:solidFill>
                <a:schemeClr val="bg1"/>
              </a:solidFill>
            </a:rPr>
            <a:t>DASHBOARD </a:t>
          </a:r>
          <a:endParaRPr lang="en-IN" sz="3200" b="1">
            <a:solidFill>
              <a:schemeClr val="bg1"/>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5.977600810184" backgroundQuery="1" createdVersion="8" refreshedVersion="8" minRefreshableVersion="3" recordCount="0" supportSubquery="1" supportAdvancedDrill="1" xr:uid="{7F9C8769-E277-4C29-BED4-E680823E5D9A}">
  <cacheSource type="external" connectionId="1"/>
  <cacheFields count="2">
    <cacheField name="[Table1].[Region].[Region]" caption="Region" numFmtId="0" hierarchy="5" level="1">
      <sharedItems count="5">
        <s v="Central"/>
        <s v="East"/>
        <s v="North"/>
        <s v="South"/>
        <s v="West"/>
      </sharedItems>
    </cacheField>
    <cacheField name="[Measures].[Count of Full Name]" caption="Count of Full Name" numFmtId="0" hierarchy="23" level="32767"/>
  </cacheFields>
  <cacheHierarchies count="37">
    <cacheHierarchy uniqueName="[Table1].[Employee ID]" caption="Employee ID" attribute="1" defaultMemberUniqueName="[Table1].[Employee ID].[All]" allUniqueName="[Table1].[Employee ID].[All]" dimensionUniqueName="[Table1]" displayFolder="" count="2" memberValueDatatype="20" unbalanced="0"/>
    <cacheHierarchy uniqueName="[Table1].[Full Name]" caption="Full Name" attribute="1" defaultMemberUniqueName="[Table1].[Full Name].[All]" allUniqueName="[Table1].[Full 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range]" caption="Age range" attribute="1" defaultMemberUniqueName="[Table1].[Age range].[All]" allUniqueName="[Table1].[Age rang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Job Title]" caption="Job Title" attribute="1" defaultMemberUniqueName="[Table1].[Job Title].[All]" allUniqueName="[Table1].[Job Titl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Supervisor]" caption="Manager/Supervisor" attribute="1" defaultMemberUniqueName="[Table1].[Manager/Supervisor].[All]" allUniqueName="[Table1].[Manager/Supervisor].[All]" dimensionUniqueName="[Table1]" displayFolder="" count="2" memberValueDatatype="130" unbalanced="0"/>
    <cacheHierarchy uniqueName="[Table1].[Date of Hire]" caption="Date of Hire" attribute="1" defaultMemberUniqueName="[Table1].[Date of Hire].[All]" allUniqueName="[Table1].[Date of Hire].[All]" dimensionUniqueName="[Table1]" displayFolder="" count="2" memberValueDatatype="130"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Work Location]" caption="Work Location" attribute="1" defaultMemberUniqueName="[Table1].[Work Location].[All]" allUniqueName="[Table1].[Work Location].[All]" dimensionUniqueName="[Table1]" displayFolder="" count="2" memberValueDatatype="130" unbalanced="0"/>
    <cacheHierarchy uniqueName="[Table1].[Salary]" caption="Salary" attribute="1" defaultMemberUniqueName="[Table1].[Salary].[All]" allUniqueName="[Table1].[Salary].[All]" dimensionUniqueName="[Table1]" displayFolder="" count="2" memberValueDatatype="20" unbalanced="0"/>
    <cacheHierarchy uniqueName="[Table1].[Pay Grade]" caption="Pay Grade" attribute="1" defaultMemberUniqueName="[Table1].[Pay Grade].[All]" allUniqueName="[Table1].[Pay Grade].[All]" dimensionUniqueName="[Table1]" displayFolder="" count="2" memberValueDatatype="130" unbalanced="0"/>
    <cacheHierarchy uniqueName="[Table1].[Bonus/Allowances]" caption="Bonus/Allowances" attribute="1" defaultMemberUniqueName="[Table1].[Bonus/Allowances].[All]" allUniqueName="[Table1].[Bonus/Allowances].[All]" dimensionUniqueName="[Table1]" displayFolder="" count="2" memberValueDatatype="20" unbalanced="0"/>
    <cacheHierarchy uniqueName="[Table1].[Insurance Details]" caption="Insurance Details" attribute="1" defaultMemberUniqueName="[Table1].[Insurance Details].[All]" allUniqueName="[Table1].[Insurance Details].[All]" dimensionUniqueName="[Table1]" displayFolder="" count="2" memberValueDatatype="130" unbalanced="0"/>
    <cacheHierarchy uniqueName="[Table1].[Leave Taken]" caption="Leave Taken" attribute="1" defaultMemberUniqueName="[Table1].[Leave Taken].[All]" allUniqueName="[Table1].[Leave Taken].[All]" dimensionUniqueName="[Table1]" displayFolder="" count="2" memberValueDatatype="20" unbalanced="0"/>
    <cacheHierarchy uniqueName="[Table1].[Performance Rating]" caption="Performance Rating" attribute="1" defaultMemberUniqueName="[Table1].[Performance Rating].[All]" allUniqueName="[Table1].[Performance Rating].[All]" dimensionUniqueName="[Table1]" displayFolder="" count="2" memberValueDatatype="20" unbalanced="0"/>
    <cacheHierarchy uniqueName="[Table1].[Training Programs Attended]" caption="Training Programs Attended" attribute="1" defaultMemberUniqueName="[Table1].[Training Programs Attended].[All]" allUniqueName="[Table1].[Training Programs Attended].[All]" dimensionUniqueName="[Table1]" displayFolder="" count="2" memberValueDatatype="130" unbalanced="0"/>
    <cacheHierarchy uniqueName="[Table1].[Skills]" caption="Skills" attribute="1" defaultMemberUniqueName="[Table1].[Skills].[All]" allUniqueName="[Table1].[Skills].[All]" dimensionUniqueName="[Table1]" displayFolder="" count="2" memberValueDatatype="130" unbalanced="0"/>
    <cacheHierarchy uniqueName="[Table1].[Certifications]" caption="Certifications" attribute="1" defaultMemberUniqueName="[Table1].[Certifications].[All]" allUniqueName="[Table1].[Certifications].[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 Name]" caption="Count of Full 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Work Location]" caption="Count of Work Location" measure="1" displayFolder="" measureGroup="Table1" count="0" hidden="1">
      <extLst>
        <ext xmlns:x15="http://schemas.microsoft.com/office/spreadsheetml/2010/11/main" uri="{B97F6D7D-B522-45F9-BDA1-12C45D357490}">
          <x15:cacheHierarchy aggregatedColumn="11"/>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5"/>
        </ext>
      </extLst>
    </cacheHierarchy>
    <cacheHierarchy uniqueName="[Measures].[Count of Pay Grade]" caption="Count of Pay Grade" measure="1" displayFolder="" measureGroup="Table1" count="0" hidden="1">
      <extLst>
        <ext xmlns:x15="http://schemas.microsoft.com/office/spreadsheetml/2010/11/main" uri="{B97F6D7D-B522-45F9-BDA1-12C45D357490}">
          <x15:cacheHierarchy aggregatedColumn="13"/>
        </ext>
      </extLst>
    </cacheHierarchy>
    <cacheHierarchy uniqueName="[Measures].[Sum of Leave Taken]" caption="Sum of Leave Taken" measure="1" displayFolder="" measureGroup="Table1" count="0" hidden="1">
      <extLst>
        <ext xmlns:x15="http://schemas.microsoft.com/office/spreadsheetml/2010/11/main" uri="{B97F6D7D-B522-45F9-BDA1-12C45D357490}">
          <x15:cacheHierarchy aggregatedColumn="16"/>
        </ext>
      </extLst>
    </cacheHierarchy>
    <cacheHierarchy uniqueName="[Measures].[Sum of Employee ID]" caption="Sum of Employee 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 Rating]" caption="Sum of Performance Rating" measure="1" displayFolder="" measureGroup="Table1" count="0" hidden="1">
      <extLst>
        <ext xmlns:x15="http://schemas.microsoft.com/office/spreadsheetml/2010/11/main" uri="{B97F6D7D-B522-45F9-BDA1-12C45D357490}">
          <x15:cacheHierarchy aggregatedColumn="17"/>
        </ext>
      </extLst>
    </cacheHierarchy>
    <cacheHierarchy uniqueName="[Measures].[Count of Insurance Details]" caption="Count of Insurance Details" measure="1" displayFolder="" measureGroup="Table1" count="0" hidden="1">
      <extLst>
        <ext xmlns:x15="http://schemas.microsoft.com/office/spreadsheetml/2010/11/main" uri="{B97F6D7D-B522-45F9-BDA1-12C45D357490}">
          <x15:cacheHierarchy aggregatedColumn="15"/>
        </ext>
      </extLst>
    </cacheHierarchy>
    <cacheHierarchy uniqueName="[Measures].[Sum of Bonus/Allowances]" caption="Sum of Bonus/Allowances" measure="1" displayFolder="" measureGroup="Table1" count="0" hidden="1">
      <extLst>
        <ext xmlns:x15="http://schemas.microsoft.com/office/spreadsheetml/2010/11/main" uri="{B97F6D7D-B522-45F9-BDA1-12C45D357490}">
          <x15:cacheHierarchy aggregatedColumn="14"/>
        </ext>
      </extLst>
    </cacheHierarchy>
    <cacheHierarchy uniqueName="[Measures].[Count of Manager/Supervisor]" caption="Count of Manager/Supervisor" measure="1" displayFolder="" measureGroup="Table1" count="0" hidden="1">
      <extLst>
        <ext xmlns:x15="http://schemas.microsoft.com/office/spreadsheetml/2010/11/main" uri="{B97F6D7D-B522-45F9-BDA1-12C45D357490}">
          <x15:cacheHierarchy aggregatedColumn="8"/>
        </ext>
      </extLst>
    </cacheHierarchy>
    <cacheHierarchy uniqueName="[Measures].[Count of Date of Hire]" caption="Count of Date of Hi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6.000891782409" backgroundQuery="1" createdVersion="8" refreshedVersion="8" minRefreshableVersion="3" recordCount="0" supportSubquery="1" supportAdvancedDrill="1" xr:uid="{0D97F003-3468-4056-A8D1-1F3796AB3CAB}">
  <cacheSource type="external" connectionId="1"/>
  <cacheFields count="3">
    <cacheField name="[Measures].[Count of Full Name]" caption="Count of Full Name" numFmtId="0" hierarchy="23" level="32767"/>
    <cacheField name="[Table1].[Employment Status].[Employment Status]" caption="Employment Status" numFmtId="0" hierarchy="10" level="1">
      <sharedItems count="3">
        <s v="Contract"/>
        <s v="Full-Time"/>
        <s v="Part-Time"/>
      </sharedItems>
    </cacheField>
    <cacheField name="[Table1].[Skills].[Skills]" caption="Skills" numFmtId="0" hierarchy="19" level="1">
      <sharedItems containsSemiMixedTypes="0" containsNonDate="0" containsString="0"/>
    </cacheField>
  </cacheFields>
  <cacheHierarchies count="37">
    <cacheHierarchy uniqueName="[Table1].[Employee ID]" caption="Employee ID" attribute="1" defaultMemberUniqueName="[Table1].[Employee ID].[All]" allUniqueName="[Table1].[Employee ID].[All]" dimensionUniqueName="[Table1]" displayFolder="" count="0" memberValueDatatype="20" unbalanced="0"/>
    <cacheHierarchy uniqueName="[Table1].[Full Name]" caption="Full Name" attribute="1" defaultMemberUniqueName="[Table1].[Full Name].[All]" allUniqueName="[Table1].[Full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range]" caption="Age range" attribute="1" defaultMemberUniqueName="[Table1].[Age range].[All]" allUniqueName="[Table1].[Age rang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Job Title]" caption="Job Title" attribute="1" defaultMemberUniqueName="[Table1].[Job Title].[All]" allUniqueName="[Table1].[Job 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Manager/Supervisor]" caption="Manager/Supervisor" attribute="1" defaultMemberUniqueName="[Table1].[Manager/Supervisor].[All]" allUniqueName="[Table1].[Manager/Supervisor].[All]" dimensionUniqueName="[Table1]" displayFolder="" count="0" memberValueDatatype="130" unbalanced="0"/>
    <cacheHierarchy uniqueName="[Table1].[Date of Hire]" caption="Date of Hire" attribute="1" defaultMemberUniqueName="[Table1].[Date of Hire].[All]" allUniqueName="[Table1].[Date of Hire].[All]" dimensionUniqueName="[Table1]" displayFolder="" count="0" memberValueDatatype="130" unbalanced="0"/>
    <cacheHierarchy uniqueName="[Table1].[Employment Status]" caption="Employment Status" attribute="1" defaultMemberUniqueName="[Table1].[Employment Status].[All]" allUniqueName="[Table1].[Employment Status].[All]" dimensionUniqueName="[Table1]" displayFolder="" count="2" memberValueDatatype="130" unbalanced="0">
      <fieldsUsage count="2">
        <fieldUsage x="-1"/>
        <fieldUsage x="1"/>
      </fieldsUsage>
    </cacheHierarchy>
    <cacheHierarchy uniqueName="[Table1].[Work Location]" caption="Work Location" attribute="1" defaultMemberUniqueName="[Table1].[Work Location].[All]" allUniqueName="[Table1].[Work Location].[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ay Grade]" caption="Pay Grade" attribute="1" defaultMemberUniqueName="[Table1].[Pay Grade].[All]" allUniqueName="[Table1].[Pay Grade].[All]" dimensionUniqueName="[Table1]" displayFolder="" count="0" memberValueDatatype="130" unbalanced="0"/>
    <cacheHierarchy uniqueName="[Table1].[Bonus/Allowances]" caption="Bonus/Allowances" attribute="1" defaultMemberUniqueName="[Table1].[Bonus/Allowances].[All]" allUniqueName="[Table1].[Bonus/Allowances].[All]" dimensionUniqueName="[Table1]" displayFolder="" count="0" memberValueDatatype="20" unbalanced="0"/>
    <cacheHierarchy uniqueName="[Table1].[Insurance Details]" caption="Insurance Details" attribute="1" defaultMemberUniqueName="[Table1].[Insurance Details].[All]" allUniqueName="[Table1].[Insurance Details].[All]" dimensionUniqueName="[Table1]" displayFolder="" count="0" memberValueDatatype="130" unbalanced="0"/>
    <cacheHierarchy uniqueName="[Table1].[Leave Taken]" caption="Leave Taken" attribute="1" defaultMemberUniqueName="[Table1].[Leave Taken].[All]" allUniqueName="[Table1].[Leave Taken].[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Training Programs Attended]" caption="Training Programs Attended" attribute="1" defaultMemberUniqueName="[Table1].[Training Programs Attended].[All]" allUniqueName="[Table1].[Training Programs Attended].[All]" dimensionUniqueName="[Table1]" displayFolder="" count="0" memberValueDatatype="130" unbalanced="0"/>
    <cacheHierarchy uniqueName="[Table1].[Skills]" caption="Skills" attribute="1" defaultMemberUniqueName="[Table1].[Skills].[All]" allUniqueName="[Table1].[Skills].[All]" dimensionUniqueName="[Table1]" displayFolder="" count="2" memberValueDatatype="130" unbalanced="0">
      <fieldsUsage count="2">
        <fieldUsage x="-1"/>
        <fieldUsage x="2"/>
      </fieldsUsage>
    </cacheHierarchy>
    <cacheHierarchy uniqueName="[Table1].[Certifications]" caption="Certifications" attribute="1" defaultMemberUniqueName="[Table1].[Certifications].[All]" allUniqueName="[Table1].[Certification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 Name]" caption="Count of Full 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Work Location]" caption="Count of Work Location" measure="1" displayFolder="" measureGroup="Table1" count="0" hidden="1">
      <extLst>
        <ext xmlns:x15="http://schemas.microsoft.com/office/spreadsheetml/2010/11/main" uri="{B97F6D7D-B522-45F9-BDA1-12C45D357490}">
          <x15:cacheHierarchy aggregatedColumn="11"/>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5"/>
        </ext>
      </extLst>
    </cacheHierarchy>
    <cacheHierarchy uniqueName="[Measures].[Count of Pay Grade]" caption="Count of Pay Grade" measure="1" displayFolder="" measureGroup="Table1" count="0" hidden="1">
      <extLst>
        <ext xmlns:x15="http://schemas.microsoft.com/office/spreadsheetml/2010/11/main" uri="{B97F6D7D-B522-45F9-BDA1-12C45D357490}">
          <x15:cacheHierarchy aggregatedColumn="13"/>
        </ext>
      </extLst>
    </cacheHierarchy>
    <cacheHierarchy uniqueName="[Measures].[Sum of Leave Taken]" caption="Sum of Leave Taken" measure="1" displayFolder="" measureGroup="Table1" count="0" hidden="1">
      <extLst>
        <ext xmlns:x15="http://schemas.microsoft.com/office/spreadsheetml/2010/11/main" uri="{B97F6D7D-B522-45F9-BDA1-12C45D357490}">
          <x15:cacheHierarchy aggregatedColumn="16"/>
        </ext>
      </extLst>
    </cacheHierarchy>
    <cacheHierarchy uniqueName="[Measures].[Sum of Employee ID]" caption="Sum of Employee 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 Rating]" caption="Sum of Performance Rating" measure="1" displayFolder="" measureGroup="Table1" count="0" hidden="1">
      <extLst>
        <ext xmlns:x15="http://schemas.microsoft.com/office/spreadsheetml/2010/11/main" uri="{B97F6D7D-B522-45F9-BDA1-12C45D357490}">
          <x15:cacheHierarchy aggregatedColumn="17"/>
        </ext>
      </extLst>
    </cacheHierarchy>
    <cacheHierarchy uniqueName="[Measures].[Count of Insurance Details]" caption="Count of Insurance Details" measure="1" displayFolder="" measureGroup="Table1" count="0" hidden="1">
      <extLst>
        <ext xmlns:x15="http://schemas.microsoft.com/office/spreadsheetml/2010/11/main" uri="{B97F6D7D-B522-45F9-BDA1-12C45D357490}">
          <x15:cacheHierarchy aggregatedColumn="15"/>
        </ext>
      </extLst>
    </cacheHierarchy>
    <cacheHierarchy uniqueName="[Measures].[Sum of Bonus/Allowances]" caption="Sum of Bonus/Allowances" measure="1" displayFolder="" measureGroup="Table1" count="0" hidden="1">
      <extLst>
        <ext xmlns:x15="http://schemas.microsoft.com/office/spreadsheetml/2010/11/main" uri="{B97F6D7D-B522-45F9-BDA1-12C45D357490}">
          <x15:cacheHierarchy aggregatedColumn="14"/>
        </ext>
      </extLst>
    </cacheHierarchy>
    <cacheHierarchy uniqueName="[Measures].[Count of Manager/Supervisor]" caption="Count of Manager/Supervisor" measure="1" displayFolder="" measureGroup="Table1" count="0" hidden="1">
      <extLst>
        <ext xmlns:x15="http://schemas.microsoft.com/office/spreadsheetml/2010/11/main" uri="{B97F6D7D-B522-45F9-BDA1-12C45D357490}">
          <x15:cacheHierarchy aggregatedColumn="8"/>
        </ext>
      </extLst>
    </cacheHierarchy>
    <cacheHierarchy uniqueName="[Measures].[Count of Date of Hire]" caption="Count of Date of Hi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6.000892361109" backgroundQuery="1" createdVersion="8" refreshedVersion="8" minRefreshableVersion="3" recordCount="0" supportSubquery="1" supportAdvancedDrill="1" xr:uid="{C4263A70-3F87-411D-B30A-AB8D604C2F9B}">
  <cacheSource type="external" connectionId="1"/>
  <cacheFields count="3">
    <cacheField name="[Measures].[Sum of Leave Taken]" caption="Sum of Leave Taken" numFmtId="0" hierarchy="30" level="32767"/>
    <cacheField name="[Table1].[Full Name].[Full Name]" caption="Full Name" numFmtId="0" hierarchy="1" level="1">
      <sharedItems count="10">
        <s v="Anna Payne"/>
        <s v="Carolyn Bullock"/>
        <s v="Donna Jones"/>
        <s v="Gary Garcia"/>
        <s v="Kevin Bell"/>
        <s v="Kimberly Jones"/>
        <s v="Mandy Davis"/>
        <s v="Mark Lopez"/>
        <s v="Matthew Powell"/>
        <s v="Timothy Aguilar"/>
      </sharedItems>
    </cacheField>
    <cacheField name="[Table1].[Skills].[Skills]" caption="Skills" numFmtId="0" hierarchy="19" level="1">
      <sharedItems containsSemiMixedTypes="0" containsNonDate="0" containsString="0"/>
    </cacheField>
  </cacheFields>
  <cacheHierarchies count="37">
    <cacheHierarchy uniqueName="[Table1].[Employee ID]" caption="Employee ID" attribute="1" defaultMemberUniqueName="[Table1].[Employee ID].[All]" allUniqueName="[Table1].[Employee ID].[All]" dimensionUniqueName="[Table1]" displayFolder="" count="0" memberValueDatatype="20" unbalanced="0"/>
    <cacheHierarchy uniqueName="[Table1].[Full Name]" caption="Full Name" attribute="1" defaultMemberUniqueName="[Table1].[Full Name].[All]" allUniqueName="[Table1].[Full Name].[All]" dimensionUniqueName="[Table1]" displayFolder="" count="2" memberValueDatatype="130" unbalanced="0">
      <fieldsUsage count="2">
        <fieldUsage x="-1"/>
        <fieldUsage x="1"/>
      </fieldsUsage>
    </cacheHierarchy>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range]" caption="Age range" attribute="1" defaultMemberUniqueName="[Table1].[Age range].[All]" allUniqueName="[Table1].[Age rang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Job Title]" caption="Job Title" attribute="1" defaultMemberUniqueName="[Table1].[Job Title].[All]" allUniqueName="[Table1].[Job 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Manager/Supervisor]" caption="Manager/Supervisor" attribute="1" defaultMemberUniqueName="[Table1].[Manager/Supervisor].[All]" allUniqueName="[Table1].[Manager/Supervisor].[All]" dimensionUniqueName="[Table1]" displayFolder="" count="0" memberValueDatatype="130" unbalanced="0"/>
    <cacheHierarchy uniqueName="[Table1].[Date of Hire]" caption="Date of Hire" attribute="1" defaultMemberUniqueName="[Table1].[Date of Hire].[All]" allUniqueName="[Table1].[Date of Hire].[All]" dimensionUniqueName="[Table1]" displayFolder="" count="0" memberValueDatatype="13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Work Location]" caption="Work Location" attribute="1" defaultMemberUniqueName="[Table1].[Work Location].[All]" allUniqueName="[Table1].[Work Location].[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ay Grade]" caption="Pay Grade" attribute="1" defaultMemberUniqueName="[Table1].[Pay Grade].[All]" allUniqueName="[Table1].[Pay Grade].[All]" dimensionUniqueName="[Table1]" displayFolder="" count="0" memberValueDatatype="130" unbalanced="0"/>
    <cacheHierarchy uniqueName="[Table1].[Bonus/Allowances]" caption="Bonus/Allowances" attribute="1" defaultMemberUniqueName="[Table1].[Bonus/Allowances].[All]" allUniqueName="[Table1].[Bonus/Allowances].[All]" dimensionUniqueName="[Table1]" displayFolder="" count="0" memberValueDatatype="20" unbalanced="0"/>
    <cacheHierarchy uniqueName="[Table1].[Insurance Details]" caption="Insurance Details" attribute="1" defaultMemberUniqueName="[Table1].[Insurance Details].[All]" allUniqueName="[Table1].[Insurance Details].[All]" dimensionUniqueName="[Table1]" displayFolder="" count="0" memberValueDatatype="130" unbalanced="0"/>
    <cacheHierarchy uniqueName="[Table1].[Leave Taken]" caption="Leave Taken" attribute="1" defaultMemberUniqueName="[Table1].[Leave Taken].[All]" allUniqueName="[Table1].[Leave Taken].[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Training Programs Attended]" caption="Training Programs Attended" attribute="1" defaultMemberUniqueName="[Table1].[Training Programs Attended].[All]" allUniqueName="[Table1].[Training Programs Attended].[All]" dimensionUniqueName="[Table1]" displayFolder="" count="0" memberValueDatatype="130" unbalanced="0"/>
    <cacheHierarchy uniqueName="[Table1].[Skills]" caption="Skills" attribute="1" defaultMemberUniqueName="[Table1].[Skills].[All]" allUniqueName="[Table1].[Skills].[All]" dimensionUniqueName="[Table1]" displayFolder="" count="2" memberValueDatatype="130" unbalanced="0">
      <fieldsUsage count="2">
        <fieldUsage x="-1"/>
        <fieldUsage x="2"/>
      </fieldsUsage>
    </cacheHierarchy>
    <cacheHierarchy uniqueName="[Table1].[Certifications]" caption="Certifications" attribute="1" defaultMemberUniqueName="[Table1].[Certifications].[All]" allUniqueName="[Table1].[Certification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 Name]" caption="Count of Full Name" measure="1" displayFolder="" measureGroup="Table1" count="0" hidden="1">
      <extLst>
        <ext xmlns:x15="http://schemas.microsoft.com/office/spreadsheetml/2010/11/main" uri="{B97F6D7D-B522-45F9-BDA1-12C45D357490}">
          <x15:cacheHierarchy aggregatedColumn="1"/>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Work Location]" caption="Count of Work Location" measure="1" displayFolder="" measureGroup="Table1" count="0" hidden="1">
      <extLst>
        <ext xmlns:x15="http://schemas.microsoft.com/office/spreadsheetml/2010/11/main" uri="{B97F6D7D-B522-45F9-BDA1-12C45D357490}">
          <x15:cacheHierarchy aggregatedColumn="11"/>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5"/>
        </ext>
      </extLst>
    </cacheHierarchy>
    <cacheHierarchy uniqueName="[Measures].[Count of Pay Grade]" caption="Count of Pay Grade" measure="1" displayFolder="" measureGroup="Table1" count="0" hidden="1">
      <extLst>
        <ext xmlns:x15="http://schemas.microsoft.com/office/spreadsheetml/2010/11/main" uri="{B97F6D7D-B522-45F9-BDA1-12C45D357490}">
          <x15:cacheHierarchy aggregatedColumn="13"/>
        </ext>
      </extLst>
    </cacheHierarchy>
    <cacheHierarchy uniqueName="[Measures].[Sum of Leave Taken]" caption="Sum of Leave Taken"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Employee ID]" caption="Sum of Employee 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 Rating]" caption="Sum of Performance Rating" measure="1" displayFolder="" measureGroup="Table1" count="0" hidden="1">
      <extLst>
        <ext xmlns:x15="http://schemas.microsoft.com/office/spreadsheetml/2010/11/main" uri="{B97F6D7D-B522-45F9-BDA1-12C45D357490}">
          <x15:cacheHierarchy aggregatedColumn="17"/>
        </ext>
      </extLst>
    </cacheHierarchy>
    <cacheHierarchy uniqueName="[Measures].[Count of Insurance Details]" caption="Count of Insurance Details" measure="1" displayFolder="" measureGroup="Table1" count="0" hidden="1">
      <extLst>
        <ext xmlns:x15="http://schemas.microsoft.com/office/spreadsheetml/2010/11/main" uri="{B97F6D7D-B522-45F9-BDA1-12C45D357490}">
          <x15:cacheHierarchy aggregatedColumn="15"/>
        </ext>
      </extLst>
    </cacheHierarchy>
    <cacheHierarchy uniqueName="[Measures].[Sum of Bonus/Allowances]" caption="Sum of Bonus/Allowances" measure="1" displayFolder="" measureGroup="Table1" count="0" hidden="1">
      <extLst>
        <ext xmlns:x15="http://schemas.microsoft.com/office/spreadsheetml/2010/11/main" uri="{B97F6D7D-B522-45F9-BDA1-12C45D357490}">
          <x15:cacheHierarchy aggregatedColumn="14"/>
        </ext>
      </extLst>
    </cacheHierarchy>
    <cacheHierarchy uniqueName="[Measures].[Count of Manager/Supervisor]" caption="Count of Manager/Supervisor" measure="1" displayFolder="" measureGroup="Table1" count="0" hidden="1">
      <extLst>
        <ext xmlns:x15="http://schemas.microsoft.com/office/spreadsheetml/2010/11/main" uri="{B97F6D7D-B522-45F9-BDA1-12C45D357490}">
          <x15:cacheHierarchy aggregatedColumn="8"/>
        </ext>
      </extLst>
    </cacheHierarchy>
    <cacheHierarchy uniqueName="[Measures].[Count of Date of Hire]" caption="Count of Date of Hi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6.000892708333" backgroundQuery="1" createdVersion="8" refreshedVersion="8" minRefreshableVersion="3" recordCount="0" supportSubquery="1" supportAdvancedDrill="1" xr:uid="{5B8757C4-E87A-4B2E-860F-327D1AC98A38}">
  <cacheSource type="external" connectionId="1"/>
  <cacheFields count="3">
    <cacheField name="[Table1].[Job Title].[Job Title]" caption="Job Title" numFmtId="0" hierarchy="6" level="1">
      <sharedItems count="5">
        <s v="Analyst"/>
        <s v="Designer"/>
        <s v="Developer"/>
        <s v="HR Specialist"/>
        <s v="Manager"/>
      </sharedItems>
    </cacheField>
    <cacheField name="[Measures].[Sum of Salary]" caption="Sum of Salary" numFmtId="0" hierarchy="25" level="32767"/>
    <cacheField name="[Table1].[Skills].[Skills]" caption="Skills" numFmtId="0" hierarchy="19" level="1">
      <sharedItems containsSemiMixedTypes="0" containsNonDate="0" containsString="0"/>
    </cacheField>
  </cacheFields>
  <cacheHierarchies count="37">
    <cacheHierarchy uniqueName="[Table1].[Employee ID]" caption="Employee ID" attribute="1" defaultMemberUniqueName="[Table1].[Employee ID].[All]" allUniqueName="[Table1].[Employee ID].[All]" dimensionUniqueName="[Table1]" displayFolder="" count="0" memberValueDatatype="20" unbalanced="0"/>
    <cacheHierarchy uniqueName="[Table1].[Full Name]" caption="Full Name" attribute="1" defaultMemberUniqueName="[Table1].[Full Name].[All]" allUniqueName="[Table1].[Full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range]" caption="Age range" attribute="1" defaultMemberUniqueName="[Table1].[Age range].[All]" allUniqueName="[Table1].[Age rang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Job Title]" caption="Job Title" attribute="1" defaultMemberUniqueName="[Table1].[Job Title].[All]" allUniqueName="[Table1].[Job Title].[All]" dimensionUniqueName="[Table1]" displayFolder="" count="2" memberValueDatatype="130" unbalanced="0">
      <fieldsUsage count="2">
        <fieldUsage x="-1"/>
        <fieldUsage x="0"/>
      </fieldsUsage>
    </cacheHierarchy>
    <cacheHierarchy uniqueName="[Table1].[Department]" caption="Department" attribute="1" defaultMemberUniqueName="[Table1].[Department].[All]" allUniqueName="[Table1].[Department].[All]" dimensionUniqueName="[Table1]" displayFolder="" count="0" memberValueDatatype="130" unbalanced="0"/>
    <cacheHierarchy uniqueName="[Table1].[Manager/Supervisor]" caption="Manager/Supervisor" attribute="1" defaultMemberUniqueName="[Table1].[Manager/Supervisor].[All]" allUniqueName="[Table1].[Manager/Supervisor].[All]" dimensionUniqueName="[Table1]" displayFolder="" count="0" memberValueDatatype="130" unbalanced="0"/>
    <cacheHierarchy uniqueName="[Table1].[Date of Hire]" caption="Date of Hire" attribute="1" defaultMemberUniqueName="[Table1].[Date of Hire].[All]" allUniqueName="[Table1].[Date of Hire].[All]" dimensionUniqueName="[Table1]" displayFolder="" count="0" memberValueDatatype="13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Work Location]" caption="Work Location" attribute="1" defaultMemberUniqueName="[Table1].[Work Location].[All]" allUniqueName="[Table1].[Work Location].[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ay Grade]" caption="Pay Grade" attribute="1" defaultMemberUniqueName="[Table1].[Pay Grade].[All]" allUniqueName="[Table1].[Pay Grade].[All]" dimensionUniqueName="[Table1]" displayFolder="" count="0" memberValueDatatype="130" unbalanced="0"/>
    <cacheHierarchy uniqueName="[Table1].[Bonus/Allowances]" caption="Bonus/Allowances" attribute="1" defaultMemberUniqueName="[Table1].[Bonus/Allowances].[All]" allUniqueName="[Table1].[Bonus/Allowances].[All]" dimensionUniqueName="[Table1]" displayFolder="" count="0" memberValueDatatype="20" unbalanced="0"/>
    <cacheHierarchy uniqueName="[Table1].[Insurance Details]" caption="Insurance Details" attribute="1" defaultMemberUniqueName="[Table1].[Insurance Details].[All]" allUniqueName="[Table1].[Insurance Details].[All]" dimensionUniqueName="[Table1]" displayFolder="" count="0" memberValueDatatype="130" unbalanced="0"/>
    <cacheHierarchy uniqueName="[Table1].[Leave Taken]" caption="Leave Taken" attribute="1" defaultMemberUniqueName="[Table1].[Leave Taken].[All]" allUniqueName="[Table1].[Leave Taken].[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Training Programs Attended]" caption="Training Programs Attended" attribute="1" defaultMemberUniqueName="[Table1].[Training Programs Attended].[All]" allUniqueName="[Table1].[Training Programs Attended].[All]" dimensionUniqueName="[Table1]" displayFolder="" count="0" memberValueDatatype="130" unbalanced="0"/>
    <cacheHierarchy uniqueName="[Table1].[Skills]" caption="Skills" attribute="1" defaultMemberUniqueName="[Table1].[Skills].[All]" allUniqueName="[Table1].[Skills].[All]" dimensionUniqueName="[Table1]" displayFolder="" count="2" memberValueDatatype="130" unbalanced="0">
      <fieldsUsage count="2">
        <fieldUsage x="-1"/>
        <fieldUsage x="2"/>
      </fieldsUsage>
    </cacheHierarchy>
    <cacheHierarchy uniqueName="[Table1].[Certifications]" caption="Certifications" attribute="1" defaultMemberUniqueName="[Table1].[Certifications].[All]" allUniqueName="[Table1].[Certification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 Name]" caption="Count of Full Name" measure="1" displayFolder="" measureGroup="Table1" count="0" hidden="1">
      <extLst>
        <ext xmlns:x15="http://schemas.microsoft.com/office/spreadsheetml/2010/11/main" uri="{B97F6D7D-B522-45F9-BDA1-12C45D357490}">
          <x15:cacheHierarchy aggregatedColumn="1"/>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Work Location]" caption="Count of Work Location" measure="1" displayFolder="" measureGroup="Table1" count="0" hidden="1">
      <extLst>
        <ext xmlns:x15="http://schemas.microsoft.com/office/spreadsheetml/2010/11/main" uri="{B97F6D7D-B522-45F9-BDA1-12C45D357490}">
          <x15:cacheHierarchy aggregatedColumn="11"/>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5"/>
        </ext>
      </extLst>
    </cacheHierarchy>
    <cacheHierarchy uniqueName="[Measures].[Count of Pay Grade]" caption="Count of Pay Grade" measure="1" displayFolder="" measureGroup="Table1" count="0" hidden="1">
      <extLst>
        <ext xmlns:x15="http://schemas.microsoft.com/office/spreadsheetml/2010/11/main" uri="{B97F6D7D-B522-45F9-BDA1-12C45D357490}">
          <x15:cacheHierarchy aggregatedColumn="13"/>
        </ext>
      </extLst>
    </cacheHierarchy>
    <cacheHierarchy uniqueName="[Measures].[Sum of Leave Taken]" caption="Sum of Leave Taken" measure="1" displayFolder="" measureGroup="Table1" count="0" hidden="1">
      <extLst>
        <ext xmlns:x15="http://schemas.microsoft.com/office/spreadsheetml/2010/11/main" uri="{B97F6D7D-B522-45F9-BDA1-12C45D357490}">
          <x15:cacheHierarchy aggregatedColumn="16"/>
        </ext>
      </extLst>
    </cacheHierarchy>
    <cacheHierarchy uniqueName="[Measures].[Sum of Employee ID]" caption="Sum of Employee 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 Rating]" caption="Sum of Performance Rating" measure="1" displayFolder="" measureGroup="Table1" count="0" hidden="1">
      <extLst>
        <ext xmlns:x15="http://schemas.microsoft.com/office/spreadsheetml/2010/11/main" uri="{B97F6D7D-B522-45F9-BDA1-12C45D357490}">
          <x15:cacheHierarchy aggregatedColumn="17"/>
        </ext>
      </extLst>
    </cacheHierarchy>
    <cacheHierarchy uniqueName="[Measures].[Count of Insurance Details]" caption="Count of Insurance Details" measure="1" displayFolder="" measureGroup="Table1" count="0" hidden="1">
      <extLst>
        <ext xmlns:x15="http://schemas.microsoft.com/office/spreadsheetml/2010/11/main" uri="{B97F6D7D-B522-45F9-BDA1-12C45D357490}">
          <x15:cacheHierarchy aggregatedColumn="15"/>
        </ext>
      </extLst>
    </cacheHierarchy>
    <cacheHierarchy uniqueName="[Measures].[Sum of Bonus/Allowances]" caption="Sum of Bonus/Allowances" measure="1" displayFolder="" measureGroup="Table1" count="0" hidden="1">
      <extLst>
        <ext xmlns:x15="http://schemas.microsoft.com/office/spreadsheetml/2010/11/main" uri="{B97F6D7D-B522-45F9-BDA1-12C45D357490}">
          <x15:cacheHierarchy aggregatedColumn="14"/>
        </ext>
      </extLst>
    </cacheHierarchy>
    <cacheHierarchy uniqueName="[Measures].[Count of Manager/Supervisor]" caption="Count of Manager/Supervisor" measure="1" displayFolder="" measureGroup="Table1" count="0" hidden="1">
      <extLst>
        <ext xmlns:x15="http://schemas.microsoft.com/office/spreadsheetml/2010/11/main" uri="{B97F6D7D-B522-45F9-BDA1-12C45D357490}">
          <x15:cacheHierarchy aggregatedColumn="8"/>
        </ext>
      </extLst>
    </cacheHierarchy>
    <cacheHierarchy uniqueName="[Measures].[Count of Date of Hire]" caption="Count of Date of Hi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6.000893287041" backgroundQuery="1" createdVersion="8" refreshedVersion="8" minRefreshableVersion="3" recordCount="0" supportSubquery="1" supportAdvancedDrill="1" xr:uid="{D5ECF203-D233-448C-88CB-E8A2974B6FED}">
  <cacheSource type="external" connectionId="1"/>
  <cacheFields count="4">
    <cacheField name="[Table1].[Age range].[Age range]" caption="Age range" numFmtId="0" hierarchy="4" level="1">
      <sharedItems count="5">
        <s v="18-25"/>
        <s v="26-35"/>
        <s v="36-45"/>
        <s v="46-55"/>
        <s v="56 &lt;"/>
      </sharedItems>
    </cacheField>
    <cacheField name="[Table1].[Gender].[Gender]" caption="Gender" numFmtId="0" hierarchy="2" level="1">
      <sharedItems count="2">
        <s v="Female"/>
        <s v="Male"/>
      </sharedItems>
    </cacheField>
    <cacheField name="[Measures].[Count of Full Name]" caption="Count of Full Name" numFmtId="0" hierarchy="23" level="32767"/>
    <cacheField name="[Table1].[Skills].[Skills]" caption="Skills" numFmtId="0" hierarchy="19" level="1">
      <sharedItems containsSemiMixedTypes="0" containsNonDate="0" containsString="0"/>
    </cacheField>
  </cacheFields>
  <cacheHierarchies count="37">
    <cacheHierarchy uniqueName="[Table1].[Employee ID]" caption="Employee ID" attribute="1" defaultMemberUniqueName="[Table1].[Employee ID].[All]" allUniqueName="[Table1].[Employee ID].[All]" dimensionUniqueName="[Table1]" displayFolder="" count="0" memberValueDatatype="20" unbalanced="0"/>
    <cacheHierarchy uniqueName="[Table1].[Full Name]" caption="Full Name" attribute="1" defaultMemberUniqueName="[Table1].[Full Name].[All]" allUniqueName="[Table1].[Full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20" unbalanced="0"/>
    <cacheHierarchy uniqueName="[Table1].[Age range]" caption="Age range" attribute="1" defaultMemberUniqueName="[Table1].[Age range].[All]" allUniqueName="[Table1].[Age range].[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0" memberValueDatatype="130" unbalanced="0"/>
    <cacheHierarchy uniqueName="[Table1].[Job Title]" caption="Job Title" attribute="1" defaultMemberUniqueName="[Table1].[Job Title].[All]" allUniqueName="[Table1].[Job 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Manager/Supervisor]" caption="Manager/Supervisor" attribute="1" defaultMemberUniqueName="[Table1].[Manager/Supervisor].[All]" allUniqueName="[Table1].[Manager/Supervisor].[All]" dimensionUniqueName="[Table1]" displayFolder="" count="0" memberValueDatatype="130" unbalanced="0"/>
    <cacheHierarchy uniqueName="[Table1].[Date of Hire]" caption="Date of Hire" attribute="1" defaultMemberUniqueName="[Table1].[Date of Hire].[All]" allUniqueName="[Table1].[Date of Hire].[All]" dimensionUniqueName="[Table1]" displayFolder="" count="0" memberValueDatatype="13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Work Location]" caption="Work Location" attribute="1" defaultMemberUniqueName="[Table1].[Work Location].[All]" allUniqueName="[Table1].[Work Location].[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ay Grade]" caption="Pay Grade" attribute="1" defaultMemberUniqueName="[Table1].[Pay Grade].[All]" allUniqueName="[Table1].[Pay Grade].[All]" dimensionUniqueName="[Table1]" displayFolder="" count="0" memberValueDatatype="130" unbalanced="0"/>
    <cacheHierarchy uniqueName="[Table1].[Bonus/Allowances]" caption="Bonus/Allowances" attribute="1" defaultMemberUniqueName="[Table1].[Bonus/Allowances].[All]" allUniqueName="[Table1].[Bonus/Allowances].[All]" dimensionUniqueName="[Table1]" displayFolder="" count="0" memberValueDatatype="20" unbalanced="0"/>
    <cacheHierarchy uniqueName="[Table1].[Insurance Details]" caption="Insurance Details" attribute="1" defaultMemberUniqueName="[Table1].[Insurance Details].[All]" allUniqueName="[Table1].[Insurance Details].[All]" dimensionUniqueName="[Table1]" displayFolder="" count="0" memberValueDatatype="130" unbalanced="0"/>
    <cacheHierarchy uniqueName="[Table1].[Leave Taken]" caption="Leave Taken" attribute="1" defaultMemberUniqueName="[Table1].[Leave Taken].[All]" allUniqueName="[Table1].[Leave Taken].[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Training Programs Attended]" caption="Training Programs Attended" attribute="1" defaultMemberUniqueName="[Table1].[Training Programs Attended].[All]" allUniqueName="[Table1].[Training Programs Attended].[All]" dimensionUniqueName="[Table1]" displayFolder="" count="0" memberValueDatatype="130" unbalanced="0"/>
    <cacheHierarchy uniqueName="[Table1].[Skills]" caption="Skills" attribute="1" defaultMemberUniqueName="[Table1].[Skills].[All]" allUniqueName="[Table1].[Skills].[All]" dimensionUniqueName="[Table1]" displayFolder="" count="2" memberValueDatatype="130" unbalanced="0">
      <fieldsUsage count="2">
        <fieldUsage x="-1"/>
        <fieldUsage x="3"/>
      </fieldsUsage>
    </cacheHierarchy>
    <cacheHierarchy uniqueName="[Table1].[Certifications]" caption="Certifications" attribute="1" defaultMemberUniqueName="[Table1].[Certifications].[All]" allUniqueName="[Table1].[Certification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 Name]" caption="Count of Full Name"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Work Location]" caption="Count of Work Location" measure="1" displayFolder="" measureGroup="Table1" count="0" hidden="1">
      <extLst>
        <ext xmlns:x15="http://schemas.microsoft.com/office/spreadsheetml/2010/11/main" uri="{B97F6D7D-B522-45F9-BDA1-12C45D357490}">
          <x15:cacheHierarchy aggregatedColumn="11"/>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5"/>
        </ext>
      </extLst>
    </cacheHierarchy>
    <cacheHierarchy uniqueName="[Measures].[Count of Pay Grade]" caption="Count of Pay Grade" measure="1" displayFolder="" measureGroup="Table1" count="0" hidden="1">
      <extLst>
        <ext xmlns:x15="http://schemas.microsoft.com/office/spreadsheetml/2010/11/main" uri="{B97F6D7D-B522-45F9-BDA1-12C45D357490}">
          <x15:cacheHierarchy aggregatedColumn="13"/>
        </ext>
      </extLst>
    </cacheHierarchy>
    <cacheHierarchy uniqueName="[Measures].[Sum of Leave Taken]" caption="Sum of Leave Taken" measure="1" displayFolder="" measureGroup="Table1" count="0" hidden="1">
      <extLst>
        <ext xmlns:x15="http://schemas.microsoft.com/office/spreadsheetml/2010/11/main" uri="{B97F6D7D-B522-45F9-BDA1-12C45D357490}">
          <x15:cacheHierarchy aggregatedColumn="16"/>
        </ext>
      </extLst>
    </cacheHierarchy>
    <cacheHierarchy uniqueName="[Measures].[Sum of Employee ID]" caption="Sum of Employee 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 Rating]" caption="Sum of Performance Rating" measure="1" displayFolder="" measureGroup="Table1" count="0" hidden="1">
      <extLst>
        <ext xmlns:x15="http://schemas.microsoft.com/office/spreadsheetml/2010/11/main" uri="{B97F6D7D-B522-45F9-BDA1-12C45D357490}">
          <x15:cacheHierarchy aggregatedColumn="17"/>
        </ext>
      </extLst>
    </cacheHierarchy>
    <cacheHierarchy uniqueName="[Measures].[Count of Insurance Details]" caption="Count of Insurance Details" measure="1" displayFolder="" measureGroup="Table1" count="0" hidden="1">
      <extLst>
        <ext xmlns:x15="http://schemas.microsoft.com/office/spreadsheetml/2010/11/main" uri="{B97F6D7D-B522-45F9-BDA1-12C45D357490}">
          <x15:cacheHierarchy aggregatedColumn="15"/>
        </ext>
      </extLst>
    </cacheHierarchy>
    <cacheHierarchy uniqueName="[Measures].[Sum of Bonus/Allowances]" caption="Sum of Bonus/Allowances" measure="1" displayFolder="" measureGroup="Table1" count="0" hidden="1">
      <extLst>
        <ext xmlns:x15="http://schemas.microsoft.com/office/spreadsheetml/2010/11/main" uri="{B97F6D7D-B522-45F9-BDA1-12C45D357490}">
          <x15:cacheHierarchy aggregatedColumn="14"/>
        </ext>
      </extLst>
    </cacheHierarchy>
    <cacheHierarchy uniqueName="[Measures].[Count of Manager/Supervisor]" caption="Count of Manager/Supervisor" measure="1" displayFolder="" measureGroup="Table1" count="0" hidden="1">
      <extLst>
        <ext xmlns:x15="http://schemas.microsoft.com/office/spreadsheetml/2010/11/main" uri="{B97F6D7D-B522-45F9-BDA1-12C45D357490}">
          <x15:cacheHierarchy aggregatedColumn="8"/>
        </ext>
      </extLst>
    </cacheHierarchy>
    <cacheHierarchy uniqueName="[Measures].[Count of Date of Hire]" caption="Count of Date of Hi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6.000893634256" backgroundQuery="1" createdVersion="8" refreshedVersion="8" minRefreshableVersion="3" recordCount="0" supportSubquery="1" supportAdvancedDrill="1" xr:uid="{6C080606-8BBF-4CEE-87C0-255444B737AA}">
  <cacheSource type="external" connectionId="1"/>
  <cacheFields count="3">
    <cacheField name="[Table1].[Work Location].[Work Location]" caption="Work Location" numFmtId="0" hierarchy="11" level="1">
      <sharedItems count="3">
        <s v="Branch Office"/>
        <s v="Head Office"/>
        <s v="Remote"/>
      </sharedItems>
    </cacheField>
    <cacheField name="[Measures].[Count of Full Name]" caption="Count of Full Name" numFmtId="0" hierarchy="23" level="32767"/>
    <cacheField name="[Table1].[Skills].[Skills]" caption="Skills" numFmtId="0" hierarchy="19" level="1">
      <sharedItems containsSemiMixedTypes="0" containsNonDate="0" containsString="0"/>
    </cacheField>
  </cacheFields>
  <cacheHierarchies count="37">
    <cacheHierarchy uniqueName="[Table1].[Employee ID]" caption="Employee ID" attribute="1" defaultMemberUniqueName="[Table1].[Employee ID].[All]" allUniqueName="[Table1].[Employee ID].[All]" dimensionUniqueName="[Table1]" displayFolder="" count="0" memberValueDatatype="20" unbalanced="0"/>
    <cacheHierarchy uniqueName="[Table1].[Full Name]" caption="Full Name" attribute="1" defaultMemberUniqueName="[Table1].[Full Name].[All]" allUniqueName="[Table1].[Full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range]" caption="Age range" attribute="1" defaultMemberUniqueName="[Table1].[Age range].[All]" allUniqueName="[Table1].[Age rang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Job Title]" caption="Job Title" attribute="1" defaultMemberUniqueName="[Table1].[Job Title].[All]" allUniqueName="[Table1].[Job 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Manager/Supervisor]" caption="Manager/Supervisor" attribute="1" defaultMemberUniqueName="[Table1].[Manager/Supervisor].[All]" allUniqueName="[Table1].[Manager/Supervisor].[All]" dimensionUniqueName="[Table1]" displayFolder="" count="0" memberValueDatatype="130" unbalanced="0"/>
    <cacheHierarchy uniqueName="[Table1].[Date of Hire]" caption="Date of Hire" attribute="1" defaultMemberUniqueName="[Table1].[Date of Hire].[All]" allUniqueName="[Table1].[Date of Hire].[All]" dimensionUniqueName="[Table1]" displayFolder="" count="0" memberValueDatatype="13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Work Location]" caption="Work Location" attribute="1" defaultMemberUniqueName="[Table1].[Work Location].[All]" allUniqueName="[Table1].[Work Location].[All]" dimensionUniqueName="[Table1]" displayFolder="" count="2" memberValueDatatype="130" unbalanced="0">
      <fieldsUsage count="2">
        <fieldUsage x="-1"/>
        <fieldUsage x="0"/>
      </fieldsUsage>
    </cacheHierarchy>
    <cacheHierarchy uniqueName="[Table1].[Salary]" caption="Salary" attribute="1" defaultMemberUniqueName="[Table1].[Salary].[All]" allUniqueName="[Table1].[Salary].[All]" dimensionUniqueName="[Table1]" displayFolder="" count="0" memberValueDatatype="20" unbalanced="0"/>
    <cacheHierarchy uniqueName="[Table1].[Pay Grade]" caption="Pay Grade" attribute="1" defaultMemberUniqueName="[Table1].[Pay Grade].[All]" allUniqueName="[Table1].[Pay Grade].[All]" dimensionUniqueName="[Table1]" displayFolder="" count="0" memberValueDatatype="130" unbalanced="0"/>
    <cacheHierarchy uniqueName="[Table1].[Bonus/Allowances]" caption="Bonus/Allowances" attribute="1" defaultMemberUniqueName="[Table1].[Bonus/Allowances].[All]" allUniqueName="[Table1].[Bonus/Allowances].[All]" dimensionUniqueName="[Table1]" displayFolder="" count="0" memberValueDatatype="20" unbalanced="0"/>
    <cacheHierarchy uniqueName="[Table1].[Insurance Details]" caption="Insurance Details" attribute="1" defaultMemberUniqueName="[Table1].[Insurance Details].[All]" allUniqueName="[Table1].[Insurance Details].[All]" dimensionUniqueName="[Table1]" displayFolder="" count="0" memberValueDatatype="130" unbalanced="0"/>
    <cacheHierarchy uniqueName="[Table1].[Leave Taken]" caption="Leave Taken" attribute="1" defaultMemberUniqueName="[Table1].[Leave Taken].[All]" allUniqueName="[Table1].[Leave Taken].[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Training Programs Attended]" caption="Training Programs Attended" attribute="1" defaultMemberUniqueName="[Table1].[Training Programs Attended].[All]" allUniqueName="[Table1].[Training Programs Attended].[All]" dimensionUniqueName="[Table1]" displayFolder="" count="0" memberValueDatatype="130" unbalanced="0"/>
    <cacheHierarchy uniqueName="[Table1].[Skills]" caption="Skills" attribute="1" defaultMemberUniqueName="[Table1].[Skills].[All]" allUniqueName="[Table1].[Skills].[All]" dimensionUniqueName="[Table1]" displayFolder="" count="2" memberValueDatatype="130" unbalanced="0">
      <fieldsUsage count="2">
        <fieldUsage x="-1"/>
        <fieldUsage x="2"/>
      </fieldsUsage>
    </cacheHierarchy>
    <cacheHierarchy uniqueName="[Table1].[Certifications]" caption="Certifications" attribute="1" defaultMemberUniqueName="[Table1].[Certifications].[All]" allUniqueName="[Table1].[Certification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 Name]" caption="Count of Full 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Work Location]" caption="Count of Work Location" measure="1" displayFolder="" measureGroup="Table1" count="0" hidden="1">
      <extLst>
        <ext xmlns:x15="http://schemas.microsoft.com/office/spreadsheetml/2010/11/main" uri="{B97F6D7D-B522-45F9-BDA1-12C45D357490}">
          <x15:cacheHierarchy aggregatedColumn="11"/>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5"/>
        </ext>
      </extLst>
    </cacheHierarchy>
    <cacheHierarchy uniqueName="[Measures].[Count of Pay Grade]" caption="Count of Pay Grade" measure="1" displayFolder="" measureGroup="Table1" count="0" hidden="1">
      <extLst>
        <ext xmlns:x15="http://schemas.microsoft.com/office/spreadsheetml/2010/11/main" uri="{B97F6D7D-B522-45F9-BDA1-12C45D357490}">
          <x15:cacheHierarchy aggregatedColumn="13"/>
        </ext>
      </extLst>
    </cacheHierarchy>
    <cacheHierarchy uniqueName="[Measures].[Sum of Leave Taken]" caption="Sum of Leave Taken" measure="1" displayFolder="" measureGroup="Table1" count="0" hidden="1">
      <extLst>
        <ext xmlns:x15="http://schemas.microsoft.com/office/spreadsheetml/2010/11/main" uri="{B97F6D7D-B522-45F9-BDA1-12C45D357490}">
          <x15:cacheHierarchy aggregatedColumn="16"/>
        </ext>
      </extLst>
    </cacheHierarchy>
    <cacheHierarchy uniqueName="[Measures].[Sum of Employee ID]" caption="Sum of Employee 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 Rating]" caption="Sum of Performance Rating" measure="1" displayFolder="" measureGroup="Table1" count="0" hidden="1">
      <extLst>
        <ext xmlns:x15="http://schemas.microsoft.com/office/spreadsheetml/2010/11/main" uri="{B97F6D7D-B522-45F9-BDA1-12C45D357490}">
          <x15:cacheHierarchy aggregatedColumn="17"/>
        </ext>
      </extLst>
    </cacheHierarchy>
    <cacheHierarchy uniqueName="[Measures].[Count of Insurance Details]" caption="Count of Insurance Details" measure="1" displayFolder="" measureGroup="Table1" count="0" hidden="1">
      <extLst>
        <ext xmlns:x15="http://schemas.microsoft.com/office/spreadsheetml/2010/11/main" uri="{B97F6D7D-B522-45F9-BDA1-12C45D357490}">
          <x15:cacheHierarchy aggregatedColumn="15"/>
        </ext>
      </extLst>
    </cacheHierarchy>
    <cacheHierarchy uniqueName="[Measures].[Sum of Bonus/Allowances]" caption="Sum of Bonus/Allowances" measure="1" displayFolder="" measureGroup="Table1" count="0" hidden="1">
      <extLst>
        <ext xmlns:x15="http://schemas.microsoft.com/office/spreadsheetml/2010/11/main" uri="{B97F6D7D-B522-45F9-BDA1-12C45D357490}">
          <x15:cacheHierarchy aggregatedColumn="14"/>
        </ext>
      </extLst>
    </cacheHierarchy>
    <cacheHierarchy uniqueName="[Measures].[Count of Manager/Supervisor]" caption="Count of Manager/Supervisor" measure="1" displayFolder="" measureGroup="Table1" count="0" hidden="1">
      <extLst>
        <ext xmlns:x15="http://schemas.microsoft.com/office/spreadsheetml/2010/11/main" uri="{B97F6D7D-B522-45F9-BDA1-12C45D357490}">
          <x15:cacheHierarchy aggregatedColumn="8"/>
        </ext>
      </extLst>
    </cacheHierarchy>
    <cacheHierarchy uniqueName="[Measures].[Count of Date of Hire]" caption="Count of Date of Hi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6.00089398148" backgroundQuery="1" createdVersion="8" refreshedVersion="8" minRefreshableVersion="3" recordCount="0" supportSubquery="1" supportAdvancedDrill="1" xr:uid="{7DB0A0C3-0032-4B65-820D-02BC3A30FC4A}">
  <cacheSource type="external" connectionId="1"/>
  <cacheFields count="2">
    <cacheField name="[Table1].[Skills].[Skills]" caption="Skills" numFmtId="0" hierarchy="19" level="1">
      <sharedItems count="5">
        <s v="Communication"/>
        <s v="Design"/>
        <s v="Excel"/>
        <s v="Management"/>
        <s v="Python"/>
      </sharedItems>
    </cacheField>
    <cacheField name="[Measures].[Count of Full Name]" caption="Count of Full Name" numFmtId="0" hierarchy="23" level="32767"/>
  </cacheFields>
  <cacheHierarchies count="37">
    <cacheHierarchy uniqueName="[Table1].[Employee ID]" caption="Employee ID" attribute="1" defaultMemberUniqueName="[Table1].[Employee ID].[All]" allUniqueName="[Table1].[Employee ID].[All]" dimensionUniqueName="[Table1]" displayFolder="" count="0" memberValueDatatype="20" unbalanced="0"/>
    <cacheHierarchy uniqueName="[Table1].[Full Name]" caption="Full Name" attribute="1" defaultMemberUniqueName="[Table1].[Full Name].[All]" allUniqueName="[Table1].[Full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range]" caption="Age range" attribute="1" defaultMemberUniqueName="[Table1].[Age range].[All]" allUniqueName="[Table1].[Age rang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Job Title]" caption="Job Title" attribute="1" defaultMemberUniqueName="[Table1].[Job Title].[All]" allUniqueName="[Table1].[Job Titl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Manager/Supervisor]" caption="Manager/Supervisor" attribute="1" defaultMemberUniqueName="[Table1].[Manager/Supervisor].[All]" allUniqueName="[Table1].[Manager/Supervisor].[All]" dimensionUniqueName="[Table1]" displayFolder="" count="0" memberValueDatatype="130" unbalanced="0"/>
    <cacheHierarchy uniqueName="[Table1].[Date of Hire]" caption="Date of Hire" attribute="1" defaultMemberUniqueName="[Table1].[Date of Hire].[All]" allUniqueName="[Table1].[Date of Hire].[All]" dimensionUniqueName="[Table1]" displayFolder="" count="0" memberValueDatatype="130" unbalanced="0"/>
    <cacheHierarchy uniqueName="[Table1].[Employment Status]" caption="Employment Status" attribute="1" defaultMemberUniqueName="[Table1].[Employment Status].[All]" allUniqueName="[Table1].[Employment Status].[All]" dimensionUniqueName="[Table1]" displayFolder="" count="0" memberValueDatatype="130" unbalanced="0"/>
    <cacheHierarchy uniqueName="[Table1].[Work Location]" caption="Work Location" attribute="1" defaultMemberUniqueName="[Table1].[Work Location].[All]" allUniqueName="[Table1].[Work Location].[All]" dimensionUniqueName="[Table1]" displayFolder="" count="0" memberValueDatatype="130" unbalanced="0"/>
    <cacheHierarchy uniqueName="[Table1].[Salary]" caption="Salary" attribute="1" defaultMemberUniqueName="[Table1].[Salary].[All]" allUniqueName="[Table1].[Salary].[All]" dimensionUniqueName="[Table1]" displayFolder="" count="0" memberValueDatatype="20" unbalanced="0"/>
    <cacheHierarchy uniqueName="[Table1].[Pay Grade]" caption="Pay Grade" attribute="1" defaultMemberUniqueName="[Table1].[Pay Grade].[All]" allUniqueName="[Table1].[Pay Grade].[All]" dimensionUniqueName="[Table1]" displayFolder="" count="0" memberValueDatatype="130" unbalanced="0"/>
    <cacheHierarchy uniqueName="[Table1].[Bonus/Allowances]" caption="Bonus/Allowances" attribute="1" defaultMemberUniqueName="[Table1].[Bonus/Allowances].[All]" allUniqueName="[Table1].[Bonus/Allowances].[All]" dimensionUniqueName="[Table1]" displayFolder="" count="0" memberValueDatatype="20" unbalanced="0"/>
    <cacheHierarchy uniqueName="[Table1].[Insurance Details]" caption="Insurance Details" attribute="1" defaultMemberUniqueName="[Table1].[Insurance Details].[All]" allUniqueName="[Table1].[Insurance Details].[All]" dimensionUniqueName="[Table1]" displayFolder="" count="0" memberValueDatatype="130" unbalanced="0"/>
    <cacheHierarchy uniqueName="[Table1].[Leave Taken]" caption="Leave Taken" attribute="1" defaultMemberUniqueName="[Table1].[Leave Taken].[All]" allUniqueName="[Table1].[Leave Taken].[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Training Programs Attended]" caption="Training Programs Attended" attribute="1" defaultMemberUniqueName="[Table1].[Training Programs Attended].[All]" allUniqueName="[Table1].[Training Programs Attended].[All]" dimensionUniqueName="[Table1]" displayFolder="" count="0" memberValueDatatype="130" unbalanced="0"/>
    <cacheHierarchy uniqueName="[Table1].[Skills]" caption="Skills" attribute="1" defaultMemberUniqueName="[Table1].[Skills].[All]" allUniqueName="[Table1].[Skills].[All]" dimensionUniqueName="[Table1]" displayFolder="" count="2" memberValueDatatype="130" unbalanced="0">
      <fieldsUsage count="2">
        <fieldUsage x="-1"/>
        <fieldUsage x="0"/>
      </fieldsUsage>
    </cacheHierarchy>
    <cacheHierarchy uniqueName="[Table1].[Certifications]" caption="Certifications" attribute="1" defaultMemberUniqueName="[Table1].[Certifications].[All]" allUniqueName="[Table1].[Certification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 Name]" caption="Count of Full 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0"/>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Work Location]" caption="Count of Work Location" measure="1" displayFolder="" measureGroup="Table1" count="0" hidden="1">
      <extLst>
        <ext xmlns:x15="http://schemas.microsoft.com/office/spreadsheetml/2010/11/main" uri="{B97F6D7D-B522-45F9-BDA1-12C45D357490}">
          <x15:cacheHierarchy aggregatedColumn="11"/>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5"/>
        </ext>
      </extLst>
    </cacheHierarchy>
    <cacheHierarchy uniqueName="[Measures].[Count of Pay Grade]" caption="Count of Pay Grade" measure="1" displayFolder="" measureGroup="Table1" count="0" hidden="1">
      <extLst>
        <ext xmlns:x15="http://schemas.microsoft.com/office/spreadsheetml/2010/11/main" uri="{B97F6D7D-B522-45F9-BDA1-12C45D357490}">
          <x15:cacheHierarchy aggregatedColumn="13"/>
        </ext>
      </extLst>
    </cacheHierarchy>
    <cacheHierarchy uniqueName="[Measures].[Sum of Leave Taken]" caption="Sum of Leave Taken" measure="1" displayFolder="" measureGroup="Table1" count="0" hidden="1">
      <extLst>
        <ext xmlns:x15="http://schemas.microsoft.com/office/spreadsheetml/2010/11/main" uri="{B97F6D7D-B522-45F9-BDA1-12C45D357490}">
          <x15:cacheHierarchy aggregatedColumn="16"/>
        </ext>
      </extLst>
    </cacheHierarchy>
    <cacheHierarchy uniqueName="[Measures].[Sum of Employee ID]" caption="Sum of Employee ID" measure="1" displayFolder="" measureGroup="Table1" count="0" hidden="1">
      <extLst>
        <ext xmlns:x15="http://schemas.microsoft.com/office/spreadsheetml/2010/11/main" uri="{B97F6D7D-B522-45F9-BDA1-12C45D357490}">
          <x15:cacheHierarchy aggregatedColumn="0"/>
        </ext>
      </extLst>
    </cacheHierarchy>
    <cacheHierarchy uniqueName="[Measures].[Sum of Performance Rating]" caption="Sum of Performance Rating" measure="1" displayFolder="" measureGroup="Table1" count="0" hidden="1">
      <extLst>
        <ext xmlns:x15="http://schemas.microsoft.com/office/spreadsheetml/2010/11/main" uri="{B97F6D7D-B522-45F9-BDA1-12C45D357490}">
          <x15:cacheHierarchy aggregatedColumn="17"/>
        </ext>
      </extLst>
    </cacheHierarchy>
    <cacheHierarchy uniqueName="[Measures].[Count of Insurance Details]" caption="Count of Insurance Details" measure="1" displayFolder="" measureGroup="Table1" count="0" hidden="1">
      <extLst>
        <ext xmlns:x15="http://schemas.microsoft.com/office/spreadsheetml/2010/11/main" uri="{B97F6D7D-B522-45F9-BDA1-12C45D357490}">
          <x15:cacheHierarchy aggregatedColumn="15"/>
        </ext>
      </extLst>
    </cacheHierarchy>
    <cacheHierarchy uniqueName="[Measures].[Sum of Bonus/Allowances]" caption="Sum of Bonus/Allowances" measure="1" displayFolder="" measureGroup="Table1" count="0" hidden="1">
      <extLst>
        <ext xmlns:x15="http://schemas.microsoft.com/office/spreadsheetml/2010/11/main" uri="{B97F6D7D-B522-45F9-BDA1-12C45D357490}">
          <x15:cacheHierarchy aggregatedColumn="14"/>
        </ext>
      </extLst>
    </cacheHierarchy>
    <cacheHierarchy uniqueName="[Measures].[Count of Manager/Supervisor]" caption="Count of Manager/Supervisor" measure="1" displayFolder="" measureGroup="Table1" count="0" hidden="1">
      <extLst>
        <ext xmlns:x15="http://schemas.microsoft.com/office/spreadsheetml/2010/11/main" uri="{B97F6D7D-B522-45F9-BDA1-12C45D357490}">
          <x15:cacheHierarchy aggregatedColumn="8"/>
        </ext>
      </extLst>
    </cacheHierarchy>
    <cacheHierarchy uniqueName="[Measures].[Count of Date of Hire]" caption="Count of Date of Hi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VYA" refreshedDate="46215.966736574075" backgroundQuery="1" createdVersion="3" refreshedVersion="8" minRefreshableVersion="3" recordCount="0" supportSubquery="1" supportAdvancedDrill="1" xr:uid="{402099E3-6AD6-44B0-BEE3-45986E3BA1CD}">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Measures]" caption="Measures" attribute="1" keyAttribute="1" defaultMemberUniqueName="[Measures].[__No measures defined]" dimensionUniqueName="[Measures]" displayFolder="" measures="1" count="1" memberValueDatatype="130" unbalanced="0"/>
    <cacheHierarchy uniqueName="[Table1].[Employee ID]" caption="Employee ID" attribute="1" defaultMemberUniqueName="[Table1].[Employee ID].[All]" allUniqueName="[Table1].[Employee ID].[All]" dimensionUniqueName="[Table1]" displayFolder="" count="2" memberValueDatatype="20" unbalanced="0"/>
    <cacheHierarchy uniqueName="[Table1].[Full Name]" caption="Full Name" attribute="1" defaultMemberUniqueName="[Table1].[Full Name].[All]" allUniqueName="[Table1].[Full 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range]" caption="Age range" attribute="1" defaultMemberUniqueName="[Table1].[Age range].[All]" allUniqueName="[Table1].[Age rang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Job Title]" caption="Job Title" attribute="1" defaultMemberUniqueName="[Table1].[Job Title].[All]" allUniqueName="[Table1].[Job Titl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Manager/Supervisor]" caption="Manager/Supervisor" attribute="1" defaultMemberUniqueName="[Table1].[Manager/Supervisor].[All]" allUniqueName="[Table1].[Manager/Supervisor].[All]" dimensionUniqueName="[Table1]" displayFolder="" count="2" memberValueDatatype="130" unbalanced="0"/>
    <cacheHierarchy uniqueName="[Table1].[Date of Hire]" caption="Date of Hire" attribute="1" defaultMemberUniqueName="[Table1].[Date of Hire].[All]" allUniqueName="[Table1].[Date of Hire].[All]" dimensionUniqueName="[Table1]" displayFolder="" count="2" memberValueDatatype="130" unbalanced="0"/>
    <cacheHierarchy uniqueName="[Table1].[Employment Status]" caption="Employment Status" attribute="1" defaultMemberUniqueName="[Table1].[Employment Status].[All]" allUniqueName="[Table1].[Employment Status].[All]" dimensionUniqueName="[Table1]" displayFolder="" count="2" memberValueDatatype="130" unbalanced="0"/>
    <cacheHierarchy uniqueName="[Table1].[Work Location]" caption="Work Location" attribute="1" defaultMemberUniqueName="[Table1].[Work Location].[All]" allUniqueName="[Table1].[Work Location].[All]" dimensionUniqueName="[Table1]" displayFolder="" count="2" memberValueDatatype="130" unbalanced="0"/>
    <cacheHierarchy uniqueName="[Table1].[Salary]" caption="Salary" attribute="1" defaultMemberUniqueName="[Table1].[Salary].[All]" allUniqueName="[Table1].[Salary].[All]" dimensionUniqueName="[Table1]" displayFolder="" count="2" memberValueDatatype="20" unbalanced="0"/>
    <cacheHierarchy uniqueName="[Table1].[Pay Grade]" caption="Pay Grade" attribute="1" defaultMemberUniqueName="[Table1].[Pay Grade].[All]" allUniqueName="[Table1].[Pay Grade].[All]" dimensionUniqueName="[Table1]" displayFolder="" count="2" memberValueDatatype="130" unbalanced="0"/>
    <cacheHierarchy uniqueName="[Table1].[Bonus/Allowances]" caption="Bonus/Allowances" attribute="1" defaultMemberUniqueName="[Table1].[Bonus/Allowances].[All]" allUniqueName="[Table1].[Bonus/Allowances].[All]" dimensionUniqueName="[Table1]" displayFolder="" count="2" memberValueDatatype="20" unbalanced="0"/>
    <cacheHierarchy uniqueName="[Table1].[Insurance Details]" caption="Insurance Details" attribute="1" defaultMemberUniqueName="[Table1].[Insurance Details].[All]" allUniqueName="[Table1].[Insurance Details].[All]" dimensionUniqueName="[Table1]" displayFolder="" count="2" memberValueDatatype="130" unbalanced="0"/>
    <cacheHierarchy uniqueName="[Table1].[Leave Taken]" caption="Leave Taken" attribute="1" defaultMemberUniqueName="[Table1].[Leave Taken].[All]" allUniqueName="[Table1].[Leave Taken].[All]" dimensionUniqueName="[Table1]" displayFolder="" count="2" memberValueDatatype="20" unbalanced="0"/>
    <cacheHierarchy uniqueName="[Table1].[Performance Rating]" caption="Performance Rating" attribute="1" defaultMemberUniqueName="[Table1].[Performance Rating].[All]" allUniqueName="[Table1].[Performance Rating].[All]" dimensionUniqueName="[Table1]" displayFolder="" count="2" memberValueDatatype="20" unbalanced="0"/>
    <cacheHierarchy uniqueName="[Table1].[Training Programs Attended]" caption="Training Programs Attended" attribute="1" defaultMemberUniqueName="[Table1].[Training Programs Attended].[All]" allUniqueName="[Table1].[Training Programs Attended].[All]" dimensionUniqueName="[Table1]" displayFolder="" count="2" memberValueDatatype="130" unbalanced="0"/>
    <cacheHierarchy uniqueName="[Table1].[Skills]" caption="Skills" attribute="1" defaultMemberUniqueName="[Table1].[Skills].[All]" allUniqueName="[Table1].[Skills].[All]" dimensionUniqueName="[Table1]" displayFolder="" count="2" memberValueDatatype="130" unbalanced="0"/>
    <cacheHierarchy uniqueName="[Table1].[Certifications]" caption="Certifications" attribute="1" defaultMemberUniqueName="[Table1].[Certifications].[All]" allUniqueName="[Table1].[Certifications].[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Full Name]" caption="Count of Full Name" measure="1" displayFolder="" measureGroup="Table1" count="0" hidden="1">
      <extLst>
        <ext xmlns:x15="http://schemas.microsoft.com/office/spreadsheetml/2010/11/main" uri="{B97F6D7D-B522-45F9-BDA1-12C45D357490}">
          <x15:cacheHierarchy aggregatedColumn="2"/>
        </ext>
      </extLst>
    </cacheHierarchy>
    <cacheHierarchy uniqueName="[Measures].[Count of Employment Status]" caption="Count of Employment Status" measure="1" displayFolder="" measureGroup="Table1" count="0" hidden="1">
      <extLst>
        <ext xmlns:x15="http://schemas.microsoft.com/office/spreadsheetml/2010/11/main" uri="{B97F6D7D-B522-45F9-BDA1-12C45D357490}">
          <x15:cacheHierarchy aggregatedColumn="11"/>
        </ext>
      </extLst>
    </cacheHierarchy>
    <cacheHierarchy uniqueName="[Measures].[Sum of Salary]" caption="Sum of Salary" measure="1" displayFolder="" measureGroup="Table1" count="0" hidden="1">
      <extLst>
        <ext xmlns:x15="http://schemas.microsoft.com/office/spreadsheetml/2010/11/main" uri="{B97F6D7D-B522-45F9-BDA1-12C45D357490}">
          <x15:cacheHierarchy aggregatedColumn="13"/>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3"/>
        </ext>
      </extLst>
    </cacheHierarchy>
    <cacheHierarchy uniqueName="[Measures].[Count of Work Location]" caption="Count of Work Location" measure="1" displayFolder="" measureGroup="Table1" count="0" hidden="1">
      <extLst>
        <ext xmlns:x15="http://schemas.microsoft.com/office/spreadsheetml/2010/11/main" uri="{B97F6D7D-B522-45F9-BDA1-12C45D357490}">
          <x15:cacheHierarchy aggregatedColumn="12"/>
        </ext>
      </extLst>
    </cacheHierarchy>
    <cacheHierarchy uniqueName="[Measures].[Count of Region]" caption="Count of Region" measure="1" displayFolder="" measureGroup="Table1" count="0" hidden="1">
      <extLst>
        <ext xmlns:x15="http://schemas.microsoft.com/office/spreadsheetml/2010/11/main" uri="{B97F6D7D-B522-45F9-BDA1-12C45D357490}">
          <x15:cacheHierarchy aggregatedColumn="6"/>
        </ext>
      </extLst>
    </cacheHierarchy>
    <cacheHierarchy uniqueName="[Measures].[Count of Pay Grade]" caption="Count of Pay Grade" measure="1" displayFolder="" measureGroup="Table1" count="0" hidden="1">
      <extLst>
        <ext xmlns:x15="http://schemas.microsoft.com/office/spreadsheetml/2010/11/main" uri="{B97F6D7D-B522-45F9-BDA1-12C45D357490}">
          <x15:cacheHierarchy aggregatedColumn="14"/>
        </ext>
      </extLst>
    </cacheHierarchy>
    <cacheHierarchy uniqueName="[Measures].[Sum of Leave Taken]" caption="Sum of Leave Taken" measure="1" displayFolder="" measureGroup="Table1" count="0" hidden="1">
      <extLst>
        <ext xmlns:x15="http://schemas.microsoft.com/office/spreadsheetml/2010/11/main" uri="{B97F6D7D-B522-45F9-BDA1-12C45D357490}">
          <x15:cacheHierarchy aggregatedColumn="17"/>
        </ext>
      </extLst>
    </cacheHierarchy>
    <cacheHierarchy uniqueName="[Measures].[Sum of Employee ID]" caption="Sum of Employee ID" measure="1" displayFolder="" measureGroup="Table1" count="0" hidden="1">
      <extLst>
        <ext xmlns:x15="http://schemas.microsoft.com/office/spreadsheetml/2010/11/main" uri="{B97F6D7D-B522-45F9-BDA1-12C45D357490}">
          <x15:cacheHierarchy aggregatedColumn="1"/>
        </ext>
      </extLst>
    </cacheHierarchy>
    <cacheHierarchy uniqueName="[Measures].[Sum of Performance Rating]" caption="Sum of Performance Rating" measure="1" displayFolder="" measureGroup="Table1"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4368501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6C4D7F-1881-4801-8D4C-C17E2CCA9AAE}" name="PivotTable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M2:N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Full Name"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619336-9332-4CED-B986-51ADA4F9775E}"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H2:K9"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3">
    <i>
      <x/>
    </i>
    <i>
      <x v="1"/>
    </i>
    <i t="grand">
      <x/>
    </i>
  </colItems>
  <dataFields count="1">
    <dataField name="Count of Full Name"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120580-B9EA-4B31-818F-9C48BD99A0E5}"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E2:F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ary" fld="1"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9E7BDF-5437-41B5-9A12-E1A8D018B27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5:T2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Full Name"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DCB2A3-3F2B-4BD4-AB81-382E4844E7E0}" name="PivotTable10"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1">
  <location ref="P15:Q26"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Leave Taken" fld="0" baseField="0" baseItem="0"/>
  </dataFields>
  <chartFormats count="1">
    <chartFormat chart="28" format="4"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1FADE4-17D5-4A32-B158-695D41BF957C}"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2:B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Full Name" fld="0" subtotal="count" baseField="0" baseItem="0"/>
  </dataFields>
  <formats count="6">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s>
  <chartFormats count="9">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 count="1" selected="0">
            <x v="0"/>
          </reference>
        </references>
      </pivotArea>
    </chartFormat>
    <chartFormat chart="8" format="11">
      <pivotArea type="data" outline="0" fieldPosition="0">
        <references count="2">
          <reference field="4294967294" count="1" selected="0">
            <x v="0"/>
          </reference>
          <reference field="1" count="1" selected="0">
            <x v="1"/>
          </reference>
        </references>
      </pivotArea>
    </chartFormat>
    <chartFormat chart="8" format="12">
      <pivotArea type="data" outline="0" fieldPosition="0">
        <references count="2">
          <reference field="4294967294" count="1" selected="0">
            <x v="0"/>
          </reference>
          <reference field="1" count="1" selected="0">
            <x v="2"/>
          </reference>
        </references>
      </pivotArea>
    </chartFormat>
    <chartFormat chart="9" format="17"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022606-0505-4F42-8F2D-9F4F5B6D9F23}" name="PivotTable9"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R2:S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Full Name"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s" xr10:uid="{87E9BFF1-BE9B-4CF2-88BC-0D176DB75FB9}" sourceName="[Table1].[Skills]">
  <pivotTables>
    <pivotTable tabId="2" name="PivotTable1"/>
    <pivotTable tabId="2" name="PivotTable10"/>
    <pivotTable tabId="2" name="PivotTable2"/>
    <pivotTable tabId="2" name="PivotTable3"/>
    <pivotTable tabId="2" name="PivotTable7"/>
    <pivotTable tabId="2" name="PivotTable9"/>
  </pivotTables>
  <data>
    <olap pivotCacheId="436850115">
      <levels count="2">
        <level uniqueName="[Table1].[Skills].[(All)]" sourceCaption="(All)" count="0"/>
        <level uniqueName="[Table1].[Skills].[Skills]" sourceCaption="Skills" count="5">
          <ranges>
            <range startItem="0">
              <i n="[Table1].[Skills].&amp;[Communication]" c="Communication"/>
              <i n="[Table1].[Skills].&amp;[Design]" c="Design"/>
              <i n="[Table1].[Skills].&amp;[Excel]" c="Excel"/>
              <i n="[Table1].[Skills].&amp;[Management]" c="Management"/>
              <i n="[Table1].[Skills].&amp;[Python]" c="Python"/>
            </range>
          </ranges>
        </level>
      </levels>
      <selections count="1">
        <selection n="[Table1].[Skill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ills" xr10:uid="{38B18A93-5B03-41CE-A7C6-5CB678E720CC}" cache="Slicer_Skills" caption="Skills" level="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34" dataDxfId="33">
  <autoFilter ref="A1:U51" xr:uid="{BD7F130C-4931-4EC9-8AE2-A64F6556D3A3}"/>
  <tableColumns count="21">
    <tableColumn id="1" xr3:uid="{6BDBB43D-1DF4-4FF3-9C56-0E3D699A83FC}" name="Employee ID" dataDxfId="32"/>
    <tableColumn id="2" xr3:uid="{363D91B7-21AD-4B4B-86DE-95D24769EAA5}" name="Full Name" dataDxfId="31"/>
    <tableColumn id="3" xr3:uid="{728245EC-9766-45F5-9851-7FEFEFBE2652}" name="Gender" dataDxfId="30"/>
    <tableColumn id="4" xr3:uid="{DD8A90D1-163F-4B0E-A039-9E7A16AFC106}" name="Age" dataDxfId="29"/>
    <tableColumn id="5" xr3:uid="{0672993B-A00D-49AE-84B7-674089468A17}" name="Age range" dataDxfId="28"/>
    <tableColumn id="6" xr3:uid="{B1ADEE80-60F1-4EE3-B3FB-8484EE6C17B3}" name="Region" dataDxfId="27"/>
    <tableColumn id="7" xr3:uid="{8E0A56EE-3456-4513-ADA0-27F6CAA8C17B}" name="Job Title" dataDxfId="26"/>
    <tableColumn id="8" xr3:uid="{0D9D5DB9-01CB-4300-B0CD-256901621ADC}" name="Department" dataDxfId="25"/>
    <tableColumn id="9" xr3:uid="{9EBDAC3F-6A39-4A78-B562-848691EE3AD1}" name="Manager/Supervisor" dataDxfId="24"/>
    <tableColumn id="10" xr3:uid="{AF849F24-150A-4123-B3F8-A46B4D4F7BC6}" name="Date of Hire" dataDxfId="23"/>
    <tableColumn id="11" xr3:uid="{8C57202E-334A-462A-9C44-E5E2468122E4}" name="Employment Status" dataDxfId="22"/>
    <tableColumn id="12" xr3:uid="{8A07812C-245C-4D55-A210-3AE7E0BB84EB}" name="Work Location" dataDxfId="21"/>
    <tableColumn id="13" xr3:uid="{6441036C-01DD-4130-8E4B-DBA441BCB744}" name="Salary" dataDxfId="20"/>
    <tableColumn id="14" xr3:uid="{ADCF531A-A98E-422C-939D-04D58C2423FB}" name="Pay Grade" dataDxfId="19"/>
    <tableColumn id="15" xr3:uid="{DE922695-AE31-4F31-8F89-61E6E7E646AB}" name="Bonus/Allowances" dataDxfId="18"/>
    <tableColumn id="16" xr3:uid="{62F2B816-9954-4A01-AEDC-4C13B3A2A52F}" name="Insurance Details" dataDxfId="17"/>
    <tableColumn id="17" xr3:uid="{6EFEC335-9B75-45D5-B403-A8A9E557BE24}" name="Leave Taken" dataDxfId="16"/>
    <tableColumn id="18" xr3:uid="{9DA1B78E-154E-42E4-A1BC-FE1CF363DCBA}" name="Performance Rating" dataDxfId="15"/>
    <tableColumn id="19" xr3:uid="{7E4B5E79-5639-4E3A-91A1-D1D8767BB705}" name="Training Programs Attended" dataDxfId="14"/>
    <tableColumn id="20" xr3:uid="{2E731344-8C6D-4001-9E36-F16B80500F61}" name="Skills" dataDxfId="13"/>
    <tableColumn id="21" xr3:uid="{9DCE550B-F788-4423-B330-CAB70C041DFC}" name="Certifications" dataDxfId="1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K1" zoomScale="62" workbookViewId="0">
      <selection activeCell="Z15" sqref="Z15"/>
    </sheetView>
  </sheetViews>
  <sheetFormatPr defaultColWidth="9.109375" defaultRowHeight="13.8" x14ac:dyDescent="0.3"/>
  <cols>
    <col min="1" max="1" width="17.6640625" style="1" bestFit="1" customWidth="1"/>
    <col min="2" max="2" width="18.109375" style="1" bestFit="1" customWidth="1"/>
    <col min="3" max="3" width="12.88671875" style="1" bestFit="1" customWidth="1"/>
    <col min="4" max="4" width="9.5546875" style="1" bestFit="1" customWidth="1"/>
    <col min="5" max="5" width="15.88671875" style="1" bestFit="1" customWidth="1"/>
    <col min="6" max="6" width="12.33203125" style="1" bestFit="1" customWidth="1"/>
    <col min="7" max="7" width="14.109375" style="1" bestFit="1" customWidth="1"/>
    <col min="8" max="8" width="17.44140625" style="1" bestFit="1" customWidth="1"/>
    <col min="9" max="9" width="25.6640625" style="1" bestFit="1" customWidth="1"/>
    <col min="10" max="10" width="18" style="1" bestFit="1" customWidth="1"/>
    <col min="11" max="11" width="25" style="1" bestFit="1" customWidth="1"/>
    <col min="12" max="12" width="20.33203125" style="1" bestFit="1" customWidth="1"/>
    <col min="13" max="13" width="11.88671875" style="1" bestFit="1" customWidth="1"/>
    <col min="14" max="14" width="16.109375" style="1" bestFit="1" customWidth="1"/>
    <col min="15" max="15" width="24" style="1" bestFit="1" customWidth="1"/>
    <col min="16" max="16" width="22.6640625" style="1" bestFit="1" customWidth="1"/>
    <col min="17" max="17" width="18.109375" style="1" bestFit="1" customWidth="1"/>
    <col min="18" max="18" width="25.44140625" style="1" bestFit="1" customWidth="1"/>
    <col min="19" max="19" width="34" style="1" bestFit="1" customWidth="1"/>
    <col min="20" max="20" width="16" style="1" bestFit="1" customWidth="1"/>
    <col min="21" max="21" width="21.109375" style="1" bestFit="1" customWidth="1"/>
    <col min="22" max="16384" width="9.109375" style="1"/>
  </cols>
  <sheetData>
    <row r="1" spans="1:21" ht="43.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x14ac:dyDescent="0.3">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x14ac:dyDescent="0.3">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x14ac:dyDescent="0.3">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x14ac:dyDescent="0.3">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x14ac:dyDescent="0.3">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x14ac:dyDescent="0.3">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x14ac:dyDescent="0.3">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x14ac:dyDescent="0.3">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x14ac:dyDescent="0.3">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x14ac:dyDescent="0.3">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x14ac:dyDescent="0.3">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x14ac:dyDescent="0.3">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x14ac:dyDescent="0.3">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x14ac:dyDescent="0.3">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x14ac:dyDescent="0.3">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x14ac:dyDescent="0.3">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x14ac:dyDescent="0.3">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x14ac:dyDescent="0.3">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x14ac:dyDescent="0.3">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x14ac:dyDescent="0.3">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x14ac:dyDescent="0.3">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x14ac:dyDescent="0.3">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x14ac:dyDescent="0.3">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x14ac:dyDescent="0.3">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x14ac:dyDescent="0.3">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x14ac:dyDescent="0.3">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x14ac:dyDescent="0.3">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x14ac:dyDescent="0.3">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x14ac:dyDescent="0.3">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x14ac:dyDescent="0.3">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x14ac:dyDescent="0.3">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x14ac:dyDescent="0.3">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x14ac:dyDescent="0.3">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x14ac:dyDescent="0.3">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x14ac:dyDescent="0.3">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x14ac:dyDescent="0.3">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x14ac:dyDescent="0.3">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x14ac:dyDescent="0.3">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x14ac:dyDescent="0.3">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x14ac:dyDescent="0.3">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x14ac:dyDescent="0.3">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x14ac:dyDescent="0.3">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x14ac:dyDescent="0.3">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x14ac:dyDescent="0.3">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x14ac:dyDescent="0.3">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x14ac:dyDescent="0.3">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x14ac:dyDescent="0.3">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x14ac:dyDescent="0.3">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x14ac:dyDescent="0.3">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80E9-A262-4A95-98AD-2EF8DACFFF12}">
  <dimension ref="A1:T26"/>
  <sheetViews>
    <sheetView zoomScale="67" workbookViewId="0">
      <selection activeCell="U12" sqref="U12"/>
    </sheetView>
  </sheetViews>
  <sheetFormatPr defaultRowHeight="14.4" x14ac:dyDescent="0.3"/>
  <cols>
    <col min="1" max="1" width="21.21875" bestFit="1" customWidth="1"/>
    <col min="2" max="2" width="25.77734375" bestFit="1" customWidth="1"/>
    <col min="3" max="3" width="6" customWidth="1"/>
    <col min="5" max="5" width="21.21875" bestFit="1" customWidth="1"/>
    <col min="6" max="6" width="18.88671875" bestFit="1" customWidth="1"/>
    <col min="8" max="8" width="25.77734375" bestFit="1" customWidth="1"/>
    <col min="9" max="9" width="25" bestFit="1" customWidth="1"/>
    <col min="10" max="10" width="8" bestFit="1" customWidth="1"/>
    <col min="11" max="11" width="16.5546875" bestFit="1" customWidth="1"/>
    <col min="13" max="13" width="21.21875" bestFit="1" customWidth="1"/>
    <col min="14" max="14" width="25.77734375" bestFit="1" customWidth="1"/>
    <col min="15" max="15" width="10.44140625" bestFit="1" customWidth="1"/>
    <col min="16" max="16" width="12.88671875" bestFit="1" customWidth="1"/>
    <col min="17" max="17" width="17.33203125" bestFit="1" customWidth="1"/>
    <col min="18" max="18" width="14.5546875" bestFit="1" customWidth="1"/>
    <col min="19" max="21" width="16.88671875" bestFit="1" customWidth="1"/>
    <col min="22" max="22" width="10.6640625" bestFit="1" customWidth="1"/>
    <col min="23" max="23" width="13.109375" bestFit="1" customWidth="1"/>
    <col min="24" max="24" width="12" bestFit="1" customWidth="1"/>
    <col min="25" max="25" width="14.77734375" bestFit="1" customWidth="1"/>
    <col min="26" max="26" width="14.109375" bestFit="1" customWidth="1"/>
    <col min="27" max="27" width="12.77734375" bestFit="1" customWidth="1"/>
    <col min="28" max="28" width="13" bestFit="1" customWidth="1"/>
    <col min="29" max="29" width="15.21875" bestFit="1" customWidth="1"/>
    <col min="30" max="30" width="13" bestFit="1" customWidth="1"/>
    <col min="31" max="31" width="14.33203125" bestFit="1" customWidth="1"/>
    <col min="32" max="32" width="15.33203125" bestFit="1" customWidth="1"/>
    <col min="33" max="33" width="14" bestFit="1" customWidth="1"/>
    <col min="34" max="34" width="9.88671875" bestFit="1" customWidth="1"/>
    <col min="35" max="35" width="10.88671875" bestFit="1" customWidth="1"/>
    <col min="36" max="36" width="11.5546875" bestFit="1" customWidth="1"/>
    <col min="37" max="37" width="12.109375" bestFit="1" customWidth="1"/>
    <col min="38" max="38" width="13.109375" bestFit="1" customWidth="1"/>
    <col min="39" max="39" width="11.88671875" bestFit="1" customWidth="1"/>
    <col min="40" max="40" width="10.77734375" bestFit="1" customWidth="1"/>
    <col min="41" max="41" width="12.77734375" bestFit="1" customWidth="1"/>
    <col min="42" max="42" width="13.6640625" bestFit="1" customWidth="1"/>
    <col min="43" max="43" width="12" bestFit="1" customWidth="1"/>
    <col min="44" max="44" width="10.21875" bestFit="1" customWidth="1"/>
    <col min="45" max="45" width="9.109375" bestFit="1" customWidth="1"/>
    <col min="46" max="46" width="13.6640625" bestFit="1" customWidth="1"/>
    <col min="47" max="47" width="13.5546875" bestFit="1" customWidth="1"/>
    <col min="48" max="48" width="10.6640625" bestFit="1" customWidth="1"/>
    <col min="49" max="49" width="11.5546875" bestFit="1" customWidth="1"/>
    <col min="50" max="50" width="10.33203125" bestFit="1" customWidth="1"/>
    <col min="51" max="51" width="12.6640625" bestFit="1" customWidth="1"/>
    <col min="52" max="52" width="12.44140625" bestFit="1" customWidth="1"/>
    <col min="53" max="53" width="13.88671875" bestFit="1" customWidth="1"/>
    <col min="54" max="54" width="14.109375" bestFit="1" customWidth="1"/>
    <col min="55" max="56" width="14.5546875" bestFit="1" customWidth="1"/>
    <col min="57" max="57" width="16.33203125" bestFit="1" customWidth="1"/>
    <col min="58" max="58" width="8.44140625" bestFit="1" customWidth="1"/>
    <col min="59" max="59" width="11.88671875" bestFit="1" customWidth="1"/>
    <col min="60" max="60" width="13.6640625" bestFit="1" customWidth="1"/>
    <col min="61" max="61" width="11.44140625" bestFit="1" customWidth="1"/>
    <col min="62" max="62" width="14.44140625" bestFit="1" customWidth="1"/>
    <col min="63" max="63" width="15.109375" bestFit="1" customWidth="1"/>
    <col min="64" max="64" width="12.21875" bestFit="1" customWidth="1"/>
    <col min="65" max="65" width="14" bestFit="1" customWidth="1"/>
    <col min="66" max="66" width="13.88671875" bestFit="1" customWidth="1"/>
    <col min="67" max="67" width="14.6640625" bestFit="1" customWidth="1"/>
    <col min="68" max="68" width="11.21875" bestFit="1" customWidth="1"/>
    <col min="69" max="69" width="12.88671875" bestFit="1" customWidth="1"/>
    <col min="70" max="70" width="10.5546875" bestFit="1" customWidth="1"/>
  </cols>
  <sheetData>
    <row r="1" spans="1:20" ht="41.4" customHeight="1" x14ac:dyDescent="0.3">
      <c r="A1" t="s">
        <v>217</v>
      </c>
      <c r="E1" t="s">
        <v>220</v>
      </c>
      <c r="H1" t="s">
        <v>222</v>
      </c>
      <c r="M1" t="s">
        <v>223</v>
      </c>
    </row>
    <row r="2" spans="1:20" x14ac:dyDescent="0.3">
      <c r="A2" s="8" t="s">
        <v>215</v>
      </c>
      <c r="B2" s="7" t="s">
        <v>214</v>
      </c>
      <c r="E2" s="8" t="s">
        <v>215</v>
      </c>
      <c r="F2" s="7" t="s">
        <v>219</v>
      </c>
      <c r="H2" s="4" t="s">
        <v>214</v>
      </c>
      <c r="I2" s="4" t="s">
        <v>221</v>
      </c>
      <c r="M2" s="4" t="s">
        <v>215</v>
      </c>
      <c r="N2" t="s">
        <v>214</v>
      </c>
      <c r="R2" s="4" t="s">
        <v>215</v>
      </c>
      <c r="S2" t="s">
        <v>214</v>
      </c>
    </row>
    <row r="3" spans="1:20" x14ac:dyDescent="0.3">
      <c r="A3" s="6" t="s">
        <v>63</v>
      </c>
      <c r="B3" s="7">
        <v>17</v>
      </c>
      <c r="E3" s="6" t="s">
        <v>121</v>
      </c>
      <c r="F3" s="7">
        <v>167041</v>
      </c>
      <c r="H3" s="4" t="s">
        <v>215</v>
      </c>
      <c r="I3" t="s">
        <v>22</v>
      </c>
      <c r="J3" t="s">
        <v>37</v>
      </c>
      <c r="K3" t="s">
        <v>216</v>
      </c>
      <c r="M3" s="5" t="s">
        <v>44</v>
      </c>
      <c r="N3">
        <v>23</v>
      </c>
      <c r="O3" s="11">
        <v>23</v>
      </c>
      <c r="P3" s="9">
        <f t="shared" ref="P3:P5" si="0">SUM(O3)/SUM($O$3:$O$5)</f>
        <v>0.46</v>
      </c>
      <c r="R3" s="5" t="s">
        <v>75</v>
      </c>
      <c r="S3">
        <v>12</v>
      </c>
    </row>
    <row r="4" spans="1:20" x14ac:dyDescent="0.3">
      <c r="A4" s="6" t="s">
        <v>29</v>
      </c>
      <c r="B4" s="7">
        <v>20</v>
      </c>
      <c r="E4" s="6" t="s">
        <v>40</v>
      </c>
      <c r="F4" s="7">
        <v>613842</v>
      </c>
      <c r="H4" s="5" t="s">
        <v>23</v>
      </c>
      <c r="I4">
        <v>6</v>
      </c>
      <c r="J4">
        <v>3</v>
      </c>
      <c r="K4">
        <v>9</v>
      </c>
      <c r="M4" s="5" t="s">
        <v>30</v>
      </c>
      <c r="N4">
        <v>8</v>
      </c>
      <c r="O4" s="11">
        <v>8</v>
      </c>
      <c r="P4" s="9">
        <f t="shared" si="0"/>
        <v>0.16</v>
      </c>
      <c r="R4" s="5" t="s">
        <v>34</v>
      </c>
      <c r="S4">
        <v>11</v>
      </c>
    </row>
    <row r="5" spans="1:20" x14ac:dyDescent="0.3">
      <c r="A5" s="6" t="s">
        <v>111</v>
      </c>
      <c r="B5" s="7">
        <v>13</v>
      </c>
      <c r="E5" s="6" t="s">
        <v>72</v>
      </c>
      <c r="F5" s="7">
        <v>633594</v>
      </c>
      <c r="H5" s="5" t="s">
        <v>38</v>
      </c>
      <c r="I5">
        <v>7</v>
      </c>
      <c r="J5">
        <v>6</v>
      </c>
      <c r="K5">
        <v>13</v>
      </c>
      <c r="M5" s="5" t="s">
        <v>54</v>
      </c>
      <c r="N5">
        <v>19</v>
      </c>
      <c r="O5" s="11">
        <v>19</v>
      </c>
      <c r="P5" s="9">
        <f t="shared" si="0"/>
        <v>0.38</v>
      </c>
      <c r="R5" s="5" t="s">
        <v>96</v>
      </c>
      <c r="S5">
        <v>7</v>
      </c>
    </row>
    <row r="6" spans="1:20" x14ac:dyDescent="0.3">
      <c r="A6" s="6" t="s">
        <v>216</v>
      </c>
      <c r="B6" s="7">
        <v>50</v>
      </c>
      <c r="E6" s="6" t="s">
        <v>50</v>
      </c>
      <c r="F6" s="7">
        <v>959266</v>
      </c>
      <c r="H6" s="5" t="s">
        <v>59</v>
      </c>
      <c r="I6">
        <v>5</v>
      </c>
      <c r="J6">
        <v>7</v>
      </c>
      <c r="K6">
        <v>12</v>
      </c>
      <c r="M6" s="5" t="s">
        <v>216</v>
      </c>
      <c r="N6">
        <v>50</v>
      </c>
      <c r="R6" s="5" t="s">
        <v>56</v>
      </c>
      <c r="S6">
        <v>11</v>
      </c>
    </row>
    <row r="7" spans="1:20" x14ac:dyDescent="0.3">
      <c r="E7" s="6" t="s">
        <v>25</v>
      </c>
      <c r="F7" s="7">
        <v>731170</v>
      </c>
      <c r="H7" s="5" t="s">
        <v>98</v>
      </c>
      <c r="I7">
        <v>4</v>
      </c>
      <c r="J7">
        <v>3</v>
      </c>
      <c r="K7">
        <v>7</v>
      </c>
      <c r="R7" s="5" t="s">
        <v>66</v>
      </c>
      <c r="S7">
        <v>9</v>
      </c>
    </row>
    <row r="8" spans="1:20" x14ac:dyDescent="0.3">
      <c r="A8" s="6" t="s">
        <v>63</v>
      </c>
      <c r="B8" s="7">
        <f>IFERROR(GETPIVOTDATA("[Measures].[Count of Full Name]",$A$2,"[Table1].[Employment Status]","[Table1].[Employment Status].&amp;[Contract]"),0)</f>
        <v>17</v>
      </c>
      <c r="E8" s="6" t="s">
        <v>216</v>
      </c>
      <c r="F8" s="7">
        <v>3104913</v>
      </c>
      <c r="H8" s="5" t="s">
        <v>68</v>
      </c>
      <c r="I8">
        <v>4</v>
      </c>
      <c r="J8">
        <v>5</v>
      </c>
      <c r="K8">
        <v>9</v>
      </c>
      <c r="R8" s="5" t="s">
        <v>216</v>
      </c>
      <c r="S8">
        <v>50</v>
      </c>
    </row>
    <row r="9" spans="1:20" x14ac:dyDescent="0.3">
      <c r="A9" s="6" t="s">
        <v>29</v>
      </c>
      <c r="B9" s="7">
        <f>IFERROR(GETPIVOTDATA("[Measures].[Count of Full Name]",$A$2,"[Table1].[Employment Status]","[Table1].[Employment Status].&amp;[Full-Time]"),0)</f>
        <v>20</v>
      </c>
      <c r="H9" s="5" t="s">
        <v>216</v>
      </c>
      <c r="I9">
        <v>26</v>
      </c>
      <c r="J9">
        <v>24</v>
      </c>
      <c r="K9">
        <v>50</v>
      </c>
    </row>
    <row r="10" spans="1:20" x14ac:dyDescent="0.3">
      <c r="A10" s="6" t="s">
        <v>111</v>
      </c>
      <c r="B10" s="7">
        <f>IFERROR(GETPIVOTDATA("[Measures].[Count of Full Name]",$A$2,"[Table1].[Employment Status]","[Table1].[Employment Status].&amp;[Part-Time]"),0)</f>
        <v>13</v>
      </c>
      <c r="E10" s="6" t="s">
        <v>121</v>
      </c>
      <c r="F10" s="7">
        <f>IFERROR(GETPIVOTDATA("[Measures].[Sum of Salary]",$E$2,"[Table1].[Job Title]","[Table1].[Job Title].&amp;[Analyst]"),0)</f>
        <v>167041</v>
      </c>
    </row>
    <row r="11" spans="1:20" x14ac:dyDescent="0.3">
      <c r="A11" s="6" t="s">
        <v>218</v>
      </c>
      <c r="B11" s="7">
        <f>SUM(B8:B10)</f>
        <v>50</v>
      </c>
      <c r="E11" s="6" t="s">
        <v>40</v>
      </c>
      <c r="F11" s="7">
        <f>IFERROR(GETPIVOTDATA("[Measures].[Sum of Salary]",$E$2,"[Table1].[Job Title]","[Table1].[Job Title].&amp;[Designer]"),0)</f>
        <v>613842</v>
      </c>
      <c r="H11" s="5" t="s">
        <v>22</v>
      </c>
      <c r="I11">
        <f>IFERROR(GETPIVOTDATA("[Measures].[Count of Full Name]",$H$2,"[Table1].[Gender]","[Table1].[Gender].&amp;[Female]"),0)</f>
        <v>26</v>
      </c>
      <c r="J11" s="10">
        <f t="shared" ref="J11:J12" si="1">SUM(I11)/SUM($I$11:$I$12)</f>
        <v>0.52</v>
      </c>
    </row>
    <row r="12" spans="1:20" x14ac:dyDescent="0.3">
      <c r="E12" s="6" t="s">
        <v>72</v>
      </c>
      <c r="F12" s="7">
        <v>633594</v>
      </c>
      <c r="H12" s="5" t="s">
        <v>37</v>
      </c>
      <c r="I12">
        <f>IFERROR(GETPIVOTDATA("[Measures].[Count of Full Name]",$H$2,"[Table1].[Gender]","[Table1].[Gender].&amp;[Male]"),0)</f>
        <v>24</v>
      </c>
      <c r="J12" s="10">
        <f t="shared" si="1"/>
        <v>0.48</v>
      </c>
    </row>
    <row r="13" spans="1:20" x14ac:dyDescent="0.3">
      <c r="E13" s="6" t="s">
        <v>50</v>
      </c>
      <c r="F13" s="7">
        <v>959266</v>
      </c>
      <c r="H13" s="5" t="s">
        <v>218</v>
      </c>
      <c r="I13">
        <f>SUM(I11:I12)</f>
        <v>50</v>
      </c>
    </row>
    <row r="14" spans="1:20" x14ac:dyDescent="0.3">
      <c r="E14" s="6" t="s">
        <v>25</v>
      </c>
      <c r="F14" s="7">
        <v>731170</v>
      </c>
    </row>
    <row r="15" spans="1:20" x14ac:dyDescent="0.3">
      <c r="E15" s="6" t="s">
        <v>218</v>
      </c>
      <c r="F15" s="7">
        <f>SUM(F10:F14)</f>
        <v>3104913</v>
      </c>
      <c r="P15" s="4" t="s">
        <v>215</v>
      </c>
      <c r="Q15" t="s">
        <v>224</v>
      </c>
      <c r="S15" s="4" t="s">
        <v>215</v>
      </c>
      <c r="T15" t="s">
        <v>214</v>
      </c>
    </row>
    <row r="16" spans="1:20" x14ac:dyDescent="0.3">
      <c r="P16" s="5" t="s">
        <v>205</v>
      </c>
      <c r="Q16">
        <v>18</v>
      </c>
      <c r="S16" s="5" t="s">
        <v>39</v>
      </c>
      <c r="T16">
        <v>14</v>
      </c>
    </row>
    <row r="17" spans="16:20" x14ac:dyDescent="0.3">
      <c r="P17" s="5" t="s">
        <v>136</v>
      </c>
      <c r="Q17">
        <v>18</v>
      </c>
      <c r="S17" s="5" t="s">
        <v>24</v>
      </c>
      <c r="T17">
        <v>10</v>
      </c>
    </row>
    <row r="18" spans="16:20" x14ac:dyDescent="0.3">
      <c r="P18" s="5" t="s">
        <v>133</v>
      </c>
      <c r="Q18">
        <v>20</v>
      </c>
      <c r="S18" s="5" t="s">
        <v>102</v>
      </c>
      <c r="T18">
        <v>7</v>
      </c>
    </row>
    <row r="19" spans="16:20" x14ac:dyDescent="0.3">
      <c r="P19" s="5" t="s">
        <v>36</v>
      </c>
      <c r="Q19">
        <v>19</v>
      </c>
      <c r="S19" s="5" t="s">
        <v>80</v>
      </c>
      <c r="T19">
        <v>10</v>
      </c>
    </row>
    <row r="20" spans="16:20" x14ac:dyDescent="0.3">
      <c r="P20" s="5" t="s">
        <v>145</v>
      </c>
      <c r="Q20">
        <v>17</v>
      </c>
      <c r="S20" s="5" t="s">
        <v>49</v>
      </c>
      <c r="T20">
        <v>9</v>
      </c>
    </row>
    <row r="21" spans="16:20" x14ac:dyDescent="0.3">
      <c r="P21" s="5" t="s">
        <v>58</v>
      </c>
      <c r="Q21">
        <v>20</v>
      </c>
      <c r="S21" s="5" t="s">
        <v>216</v>
      </c>
      <c r="T21">
        <v>50</v>
      </c>
    </row>
    <row r="22" spans="16:20" x14ac:dyDescent="0.3">
      <c r="P22" s="5" t="s">
        <v>87</v>
      </c>
      <c r="Q22">
        <v>19</v>
      </c>
    </row>
    <row r="23" spans="16:20" x14ac:dyDescent="0.3">
      <c r="P23" s="5" t="s">
        <v>154</v>
      </c>
      <c r="Q23">
        <v>18</v>
      </c>
    </row>
    <row r="24" spans="16:20" x14ac:dyDescent="0.3">
      <c r="P24" s="5" t="s">
        <v>90</v>
      </c>
      <c r="Q24">
        <v>20</v>
      </c>
    </row>
    <row r="25" spans="16:20" x14ac:dyDescent="0.3">
      <c r="P25" s="5" t="s">
        <v>172</v>
      </c>
      <c r="Q25">
        <v>18</v>
      </c>
    </row>
    <row r="26" spans="16:20" x14ac:dyDescent="0.3">
      <c r="P26" s="5" t="s">
        <v>216</v>
      </c>
      <c r="Q26">
        <v>187</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736FDFC8-5495-468C-88CB-4712300BB74C}">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Sheet2!T11:T24</xm:f>
              <xm:sqref>V13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4196C-517A-4B96-A9CE-C40A77B9C02C}">
  <dimension ref="A1"/>
  <sheetViews>
    <sheetView tabSelected="1" zoomScale="83" zoomScaleNormal="61" workbookViewId="0">
      <selection activeCell="AE9" sqref="AE9"/>
    </sheetView>
  </sheetViews>
  <sheetFormatPr defaultRowHeight="14.4" x14ac:dyDescent="0.3"/>
  <cols>
    <col min="1" max="16384" width="8.88671875" style="12"/>
  </cols>
  <sheetData/>
  <pageMargins left="0.7" right="0.7" top="0.75" bottom="0.75" header="0.3" footer="0.3"/>
  <pageSetup orientation="portrait" r:id="rId1"/>
  <headerFooter>
    <oddHeader>&amp;CHR DASHBOARD</oddHeader>
  </headerFooter>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divya rathod</cp:lastModifiedBy>
  <dcterms:created xsi:type="dcterms:W3CDTF">2024-12-11T17:14:33Z</dcterms:created>
  <dcterms:modified xsi:type="dcterms:W3CDTF">2026-07-13T14:16:09Z</dcterms:modified>
</cp:coreProperties>
</file>